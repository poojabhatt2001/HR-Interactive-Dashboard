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pooja bhatt\Downloads\"/>
    </mc:Choice>
  </mc:AlternateContent>
  <xr:revisionPtr revIDLastSave="0" documentId="13_ncr:1_{9CF813BB-824D-45A4-953B-9A89E54AE294}" xr6:coauthVersionLast="47" xr6:coauthVersionMax="47" xr10:uidLastSave="{00000000-0000-0000-0000-000000000000}"/>
  <bookViews>
    <workbookView xWindow="-108" yWindow="-108" windowWidth="23256" windowHeight="12456" activeTab="2" xr2:uid="{408BA6AB-5196-496B-9C80-B057CC378CDA}"/>
  </bookViews>
  <sheets>
    <sheet name="data" sheetId="1" r:id="rId1"/>
    <sheet name="pivot table" sheetId="5" r:id="rId2"/>
    <sheet name="dashboard" sheetId="3" r:id="rId3"/>
  </sheets>
  <externalReferences>
    <externalReference r:id="rId4"/>
  </externalReferences>
  <definedNames>
    <definedName name="Slicer_Department">#N/A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5" i="5" l="1"/>
  <c r="AD11" i="5"/>
  <c r="Q13" i="5"/>
  <c r="B11" i="5"/>
  <c r="AD13" i="5"/>
  <c r="V12" i="5"/>
  <c r="G13" i="5"/>
  <c r="B10" i="5"/>
  <c r="V15" i="5"/>
  <c r="G16" i="5"/>
  <c r="G14" i="5"/>
  <c r="K18" i="5"/>
  <c r="Z11" i="5"/>
  <c r="Z14" i="5"/>
  <c r="Q11" i="5"/>
  <c r="AD14" i="5"/>
  <c r="AD12" i="5"/>
  <c r="V11" i="5"/>
  <c r="B12" i="5"/>
  <c r="Z12" i="5"/>
  <c r="H14" i="5"/>
  <c r="K13" i="5"/>
  <c r="V13" i="5"/>
  <c r="H16" i="5"/>
  <c r="K16" i="5"/>
  <c r="H13" i="5"/>
  <c r="Z13" i="5"/>
  <c r="K19" i="5"/>
  <c r="Z15" i="5"/>
  <c r="V14" i="5"/>
  <c r="G15" i="5"/>
  <c r="K12" i="5"/>
  <c r="H12" i="5"/>
  <c r="G12" i="5"/>
  <c r="K15" i="5"/>
  <c r="H15" i="5"/>
  <c r="K14" i="5"/>
  <c r="Q12" i="5"/>
  <c r="R12" i="5" l="1"/>
  <c r="S12" i="5" s="1"/>
  <c r="G17" i="5"/>
  <c r="H17" i="5"/>
  <c r="L19" i="5"/>
  <c r="M19" i="5" s="1"/>
  <c r="V16" i="5"/>
  <c r="R11" i="5"/>
  <c r="S11" i="5" s="1"/>
  <c r="Q14" i="5"/>
  <c r="Z16" i="5"/>
  <c r="L18" i="5"/>
  <c r="M18" i="5" s="1"/>
  <c r="B13" i="5"/>
  <c r="R13" i="5"/>
  <c r="S13" i="5" s="1"/>
  <c r="AD16" i="5"/>
</calcChain>
</file>

<file path=xl/sharedStrings.xml><?xml version="1.0" encoding="utf-8"?>
<sst xmlns="http://schemas.openxmlformats.org/spreadsheetml/2006/main" count="876" uniqueCount="231">
  <si>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</si>
  <si>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</si>
  <si>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</si>
  <si>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</si>
  <si>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</si>
  <si>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</si>
  <si>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</si>
  <si>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</si>
  <si>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</si>
  <si>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</si>
  <si>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</si>
  <si>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</si>
  <si>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</si>
  <si>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</si>
  <si>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</si>
  <si>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</si>
  <si>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</si>
  <si>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</si>
  <si>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</si>
  <si>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</si>
  <si>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</si>
  <si>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</si>
  <si>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</si>
  <si>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</si>
  <si>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</si>
  <si>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</si>
  <si>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</si>
  <si>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</si>
  <si>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</si>
  <si>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</si>
  <si>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</si>
  <si>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</si>
  <si>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</si>
  <si>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</si>
  <si>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</si>
  <si>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</si>
  <si>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</si>
  <si>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</si>
  <si>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</si>
  <si>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</si>
  <si>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</si>
  <si>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</si>
  <si>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</si>
  <si>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</si>
  <si>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</si>
  <si>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</si>
  <si>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</si>
  <si>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</si>
  <si>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</si>
  <si>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</si>
  <si>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</si>
  <si>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</si>
  <si>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</si>
  <si>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</si>
  <si>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</si>
  <si>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</si>
  <si>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</si>
  <si>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</si>
  <si>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</si>
  <si>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</si>
  <si>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</si>
  <si>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</si>
  <si>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</si>
  <si>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</si>
  <si>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</si>
  <si>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</si>
  <si>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</si>
  <si>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</si>
  <si>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</si>
  <si>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</si>
  <si>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</si>
  <si>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</si>
  <si>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</si>
  <si>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</si>
  <si>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</si>
  <si>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</si>
  <si>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</si>
  <si>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</si>
  <si>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</si>
  <si>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</si>
  <si>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</si>
  <si>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</si>
  <si>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</si>
  <si>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</si>
  <si>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</si>
  <si>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</si>
  <si>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</si>
  <si>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</si>
  <si>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</si>
  <si>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</si>
  <si>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</si>
  <si>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</si>
  <si>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</si>
  <si>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</si>
  <si>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</si>
  <si>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</si>
  <si>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</si>
  <si>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</si>
  <si>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</si>
  <si>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</si>
  <si>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</si>
  <si>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</si>
  <si>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</si>
  <si>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</si>
  <si>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</si>
  <si>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</si>
  <si>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</si>
  <si>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</si>
  <si>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</si>
  <si>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</si>
  <si>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</si>
  <si>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</si>
  <si>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</si>
  <si>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</si>
  <si>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</si>
  <si>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</si>
  <si>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</si>
  <si>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</si>
  <si>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</si>
  <si>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</si>
  <si>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</si>
  <si>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</si>
  <si>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</si>
  <si>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</si>
  <si>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</si>
  <si>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</si>
  <si>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</si>
  <si>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</si>
  <si>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</si>
  <si>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</si>
  <si>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</si>
  <si>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</si>
  <si>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</si>
  <si>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</si>
  <si>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</si>
  <si>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</si>
  <si>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</si>
  <si>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</si>
  <si>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</si>
  <si>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</si>
  <si>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</si>
  <si>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</si>
  <si>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</si>
  <si>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</si>
  <si>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</si>
  <si>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</si>
  <si>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</si>
  <si>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</si>
  <si>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</si>
  <si>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</si>
  <si>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</si>
  <si>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</si>
  <si>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</si>
  <si>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</si>
  <si>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</si>
  <si>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</si>
  <si>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</si>
  <si>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</si>
  <si>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</si>
  <si>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</si>
  <si>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</si>
  <si>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</si>
  <si>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</si>
  <si>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</si>
  <si>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</si>
  <si>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</si>
  <si>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</si>
  <si>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</si>
  <si>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</si>
  <si>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</si>
  <si>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</si>
  <si>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</si>
  <si>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</si>
  <si>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</si>
  <si>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</si>
  <si>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</si>
  <si>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</si>
  <si>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</si>
  <si>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</si>
  <si>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</si>
  <si>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</si>
  <si>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</si>
  <si>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</si>
  <si>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</si>
  <si>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</si>
  <si>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</si>
  <si>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</si>
  <si>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</si>
  <si>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</si>
  <si>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</si>
  <si>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</si>
  <si>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</si>
  <si>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</si>
  <si>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</si>
  <si>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</si>
  <si>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</si>
  <si>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</si>
  <si>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</si>
  <si>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</si>
  <si>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</si>
  <si>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</si>
  <si>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</si>
  <si>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</si>
  <si>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</si>
  <si>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</si>
  <si>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</si>
  <si>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</si>
  <si>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</si>
  <si>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</si>
  <si>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</si>
  <si>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</si>
  <si>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</si>
  <si>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</si>
  <si>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</si>
  <si>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</si>
  <si>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</si>
  <si>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</si>
  <si>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total</t>
  </si>
  <si>
    <t>NO OF EMPLOYEES TO EMPLOYEES STATUS</t>
  </si>
  <si>
    <t>Sum of Salary</t>
  </si>
  <si>
    <t>TOTAL</t>
  </si>
  <si>
    <t>SALARIES TO DEPARTMENT</t>
  </si>
  <si>
    <t>Column Labels</t>
  </si>
  <si>
    <t>AGE RANGE TO GENDER</t>
  </si>
  <si>
    <t>FEMALE</t>
  </si>
  <si>
    <t>MALE</t>
  </si>
  <si>
    <t>work place</t>
  </si>
  <si>
    <t>skills</t>
  </si>
  <si>
    <t>💻</t>
  </si>
  <si>
    <t>Sum of Leave Taken</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</si>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</sst>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_ * #,##0_ ;_ * \-#,##0_ ;_ * &quot;-&quot;??_ ;_ @_ "/>
    <numFmt numFmtId="165" formatCode="0.0"/>
  </numFmts>
  <fonts count="9">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1"/>
      <color theme="1"/>
      <name val="Franklin Gothic Medium"/>
      <family val="2"/>
    </font>
  </fonts>
  <fills count="5">
    <fill>
      <patternFill patternType="none"/>
    </fill>
    <fill>
      <patternFill patternType="gray125"/>
    </fill>
    <fill>
      <patternFill patternType="solid">
        <fgColor rgb="FF282828"/>
        <bgColor indexed="64"/>
      </patternFill>
    </fill>
    <fill>
      <patternFill patternType="solid">
        <fgColor theme="1" tint="0.14999847407452621"/>
        <bgColor indexed="64"/>
      </patternFill>
    </fill>
    <fill>
      <patternFill patternType="solid">
        <fgColor theme="0"/>
        <bgColor indexed="64"/>
      </patternFill>
    </fill>
  </fills>
  <borders count="3">
    <border>
      <left/>
      <right/>
      <top/>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19">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0" fillId="0" borderId="0" xfId="0" pivotButton="1"/>
    <xf numFmtId="0" fontId="0" fillId="0" borderId="0" xfId="0" applyAlignment="1">
      <alignment horizontal="left"/>
    </xf>
    <xf numFmtId="0" fontId="8" fillId="2" borderId="0" xfId="0" applyFont="1" applyFill="1"/>
    <xf numFmtId="0" fontId="0" fillId="2" borderId="0" xfId="0" applyFill="1"/>
    <xf numFmtId="0" fontId="7" fillId="4" borderId="0" xfId="0" applyFont="1" applyFill="1"/>
    <xf numFmtId="165" fontId="0" fillId="0" borderId="0" xfId="0" applyNumberFormat="1"/>
    <xf numFmtId="0" fontId="0" fillId="0" borderId="2" xfId="0" applyBorder="1"/>
    <xf numFmtId="0" fontId="0" fillId="0" borderId="2" xfId="0" applyBorder="1" applyAlignment="1">
      <alignment horizontal="left"/>
    </xf>
    <xf numFmtId="164" fontId="0" fillId="0" borderId="2" xfId="1" applyNumberFormat="1" applyFont="1" applyBorder="1"/>
    <xf numFmtId="9" fontId="0" fillId="0" borderId="2" xfId="2" applyFont="1" applyBorder="1"/>
    <xf numFmtId="9" fontId="0" fillId="0" borderId="2" xfId="0" applyNumberFormat="1" applyBorder="1"/>
    <xf numFmtId="165" fontId="0" fillId="0" borderId="2" xfId="0" applyNumberFormat="1" applyBorder="1"/>
    <xf numFmtId="9" fontId="6" fillId="0" borderId="2" xfId="0" applyNumberFormat="1" applyFont="1" applyBorder="1"/>
    <xf numFmtId="0" fontId="5" fillId="3" borderId="0" xfId="0" applyFont="1" applyFill="1" applyAlignment="1">
      <alignment horizontal="center"/>
    </xf>
    <xf numFmtId="0" fontId="0" fillId="0" borderId="0" xfId="0" applyNumberFormat="1"/>
  </cellXfs>
  <cellStyles count="3">
    <cellStyle name="Comma" xfId="1" builtinId="3"/>
    <cellStyle name="Normal" xfId="0" builtinId="0"/>
    <cellStyle name="Percent" xfId="2" builtinId="5"/>
  </cellStyles>
  <dxfs count="31">
    <dxf>
      <numFmt numFmtId="165" formatCode="0.0"/>
    </dxf>
    <dxf>
      <numFmt numFmtId="165" formatCode="0.0"/>
    </dxf>
    <dxf>
      <numFmt numFmtId="165" formatCode="0.0"/>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ill>
        <patternFill>
          <fgColor rgb="FFFFC000"/>
        </patternFill>
      </fill>
    </dxf>
    <dxf>
      <fill>
        <patternFill>
          <fgColor rgb="FFFFC000"/>
        </patternFill>
      </fill>
    </dxf>
    <dxf>
      <font>
        <color rgb="FF1F1F1F"/>
      </font>
    </dxf>
    <dxf>
      <font>
        <b val="0"/>
        <i val="0"/>
        <sz val="10"/>
        <color theme="1"/>
        <name val="Aptos Display"/>
        <family val="2"/>
        <scheme val="major"/>
      </font>
      <fill>
        <patternFill>
          <bgColor rgb="FF1F1F1F"/>
        </patternFill>
      </fill>
    </dxf>
    <dxf>
      <font>
        <b val="0"/>
        <i val="0"/>
        <sz val="10"/>
        <color rgb="FF1F1F1F"/>
        <name val="Aptos Display"/>
        <family val="2"/>
        <scheme val="major"/>
      </font>
    </dxf>
  </dxfs>
  <tableStyles count="5" defaultTableStyle="TableStyleMedium2" defaultPivotStyle="PivotStyleLight16">
    <tableStyle name="Slicer Style 1" pivot="0" table="0" count="1" xr9:uid="{870C6D29-09F2-4091-8417-B39EDDC6C71A}">
      <tableStyleElement type="wholeTable" dxfId="30"/>
    </tableStyle>
    <tableStyle name="Slicer Style 2" pivot="0" table="0" count="0" xr9:uid="{4595B831-D6A6-45A4-AE76-FBC83E7A266A}"/>
    <tableStyle name="Slicer Style 3" pivot="0" table="0" count="5" xr9:uid="{075F5FC0-0EE5-4EBE-BD74-FF0EF377CCC4}">
      <tableStyleElement type="wholeTable" dxfId="29"/>
      <tableStyleElement type="headerRow" dxfId="28"/>
    </tableStyle>
    <tableStyle name="Slicer Style 4" pivot="0" table="0" count="1" xr9:uid="{DC502D5D-C735-4A51-B590-30AEC32C3538}">
      <tableStyleElement type="wholeTable" dxfId="27"/>
    </tableStyle>
    <tableStyle name="Slicer Style 5" pivot="0" table="0" count="1" xr9:uid="{418E6EDE-AB87-41A6-84E5-A7F74B7C9168}">
      <tableStyleElement type="wholeTable" dxfId="26"/>
    </tableStyle>
  </tableStyles>
  <colors>
    <mruColors>
      <color rgb="FF1F1F1F"/>
      <color rgb="FFFFFFFF"/>
      <color rgb="FFFFCC00"/>
      <color rgb="FF7E3706"/>
      <color rgb="FF79690B"/>
      <color rgb="FF808004"/>
      <color rgb="FF282828"/>
    </mruColors>
  </colors>
  <extLst>
    <ext xmlns:x14="http://schemas.microsoft.com/office/spreadsheetml/2009/9/main" uri="{46F421CA-312F-682f-3DD2-61675219B42D}">
      <x14:dxfs count="3">
        <dxf>
          <fill>
            <patternFill>
              <fgColor rgb="FFFFC000"/>
              <bgColor rgb="FFFFC000"/>
            </patternFill>
          </fill>
        </dxf>
        <dxf>
          <font>
            <b val="0"/>
            <i val="0"/>
            <sz val="10"/>
            <name val="Aptos Display"/>
            <family val="2"/>
            <scheme val="major"/>
          </font>
          <fill>
            <patternFill>
              <fgColor rgb="FFFFC000"/>
              <bgColor rgb="FFFFC000"/>
            </patternFill>
          </fill>
        </dxf>
        <dxf>
          <font>
            <name val="Aptos Narrow"/>
            <family val="2"/>
            <scheme val="minor"/>
          </font>
          <fill>
            <patternFill>
              <fgColor rgb="FFFFC000"/>
              <bgColor rgb="FFFFCC0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2"/>
            <x14:slicerStyleElement type="hoveredUnselectedItemWithData" dxfId="1"/>
            <x14:slicerStyleElement type="hoveredSelectedItemWithData" dxfId="0"/>
          </x14:slicerStyleElements>
        </x14:slicerStyle>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531190605484662"/>
          <c:y val="0.15740766779152607"/>
          <c:w val="0.50215517241379315"/>
          <c:h val="0.69345238095238104"/>
        </c:manualLayout>
      </c:layout>
      <c:pieChart>
        <c:varyColors val="1"/>
        <c:ser>
          <c:idx val="0"/>
          <c:order val="0"/>
          <c:spPr>
            <a:ln w="19050">
              <a:solidFill>
                <a:schemeClr val="tx1"/>
              </a:solidFill>
            </a:ln>
          </c:spPr>
          <c:explosion val="13"/>
          <c:dPt>
            <c:idx val="0"/>
            <c:bubble3D val="0"/>
            <c:explosion val="0"/>
            <c:spPr>
              <a:solidFill>
                <a:srgbClr val="FFC000"/>
              </a:solidFill>
              <a:ln w="19050">
                <a:solidFill>
                  <a:schemeClr val="tx1"/>
                </a:solidFill>
              </a:ln>
              <a:effectLst/>
            </c:spPr>
            <c:extLst>
              <c:ext xmlns:c16="http://schemas.microsoft.com/office/drawing/2014/chart" uri="{C3380CC4-5D6E-409C-BE32-E72D297353CC}">
                <c16:uniqueId val="{00000001-A4F3-4444-8694-4D768F07E6E3}"/>
              </c:ext>
            </c:extLst>
          </c:dPt>
          <c:dPt>
            <c:idx val="1"/>
            <c:bubble3D val="0"/>
            <c:explosion val="6"/>
            <c:spPr>
              <a:solidFill>
                <a:schemeClr val="tx1">
                  <a:lumMod val="50000"/>
                  <a:lumOff val="50000"/>
                </a:schemeClr>
              </a:solidFill>
              <a:ln w="19050">
                <a:solidFill>
                  <a:schemeClr val="tx1"/>
                </a:solidFill>
              </a:ln>
              <a:effectLst/>
            </c:spPr>
            <c:extLst>
              <c:ext xmlns:c16="http://schemas.microsoft.com/office/drawing/2014/chart" uri="{C3380CC4-5D6E-409C-BE32-E72D297353CC}">
                <c16:uniqueId val="{00000003-A4F3-4444-8694-4D768F07E6E3}"/>
              </c:ext>
            </c:extLst>
          </c:dPt>
          <c:dPt>
            <c:idx val="2"/>
            <c:bubble3D val="0"/>
            <c:explosion val="0"/>
            <c:spPr>
              <a:solidFill>
                <a:schemeClr val="bg2"/>
              </a:solidFill>
              <a:ln w="19050">
                <a:solidFill>
                  <a:schemeClr val="tx1"/>
                </a:solidFill>
              </a:ln>
              <a:effectLst/>
            </c:spPr>
            <c:extLst>
              <c:ext xmlns:c16="http://schemas.microsoft.com/office/drawing/2014/chart" uri="{C3380CC4-5D6E-409C-BE32-E72D297353CC}">
                <c16:uniqueId val="{00000005-A4F3-4444-8694-4D768F07E6E3}"/>
              </c:ext>
            </c:extLst>
          </c:dPt>
          <c:cat>
            <c:strRef>
              <c:f>'pivot table'!$A$10:$A$12</c:f>
              <c:strCache>
                <c:ptCount val="3"/>
                <c:pt idx="0">
                  <c:v>Contract</c:v>
                </c:pt>
                <c:pt idx="1">
                  <c:v>Full-Time</c:v>
                </c:pt>
                <c:pt idx="2">
                  <c:v>Part-Time</c:v>
                </c:pt>
              </c:strCache>
            </c:strRef>
          </c:cat>
          <c:val>
            <c:numRef>
              <c:f>'pivot table'!$B$10:$B$12</c:f>
              <c:numCache>
                <c:formatCode>General</c:formatCode>
                <c:ptCount val="3"/>
                <c:pt idx="0">
                  <c:v>17</c:v>
                </c:pt>
                <c:pt idx="1">
                  <c:v>20</c:v>
                </c:pt>
                <c:pt idx="2">
                  <c:v>13</c:v>
                </c:pt>
              </c:numCache>
            </c:numRef>
          </c:val>
          <c:extLst>
            <c:ext xmlns:c16="http://schemas.microsoft.com/office/drawing/2014/chart" uri="{C3380CC4-5D6E-409C-BE32-E72D297353CC}">
              <c16:uniqueId val="{00000006-A4F3-4444-8694-4D768F07E6E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 analysis-dashbaord.xlsx]pivot table!gender</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322855896270921E-2"/>
          <c:y val="0.18274442128369645"/>
          <c:w val="0.77778159831346261"/>
          <c:h val="0.64574525040649844"/>
        </c:manualLayout>
      </c:layout>
      <c:barChart>
        <c:barDir val="col"/>
        <c:grouping val="clustered"/>
        <c:varyColors val="0"/>
        <c:ser>
          <c:idx val="0"/>
          <c:order val="0"/>
          <c:tx>
            <c:strRef>
              <c:f>'pivot table'!$K$3:$K$4</c:f>
              <c:strCache>
                <c:ptCount val="1"/>
                <c:pt idx="0">
                  <c:v>Female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table'!$J$5:$J$10</c:f>
              <c:strCache>
                <c:ptCount val="5"/>
                <c:pt idx="0">
                  <c:v>18-25</c:v>
                </c:pt>
                <c:pt idx="1">
                  <c:v>26-35</c:v>
                </c:pt>
                <c:pt idx="2">
                  <c:v>36-45</c:v>
                </c:pt>
                <c:pt idx="3">
                  <c:v>46-55</c:v>
                </c:pt>
                <c:pt idx="4">
                  <c:v>56 &lt;</c:v>
                </c:pt>
              </c:strCache>
            </c:strRef>
          </c:cat>
          <c:val>
            <c:numRef>
              <c:f>'pivot table'!$K$5:$K$10</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E711-456E-974E-3BD8F0CF08EB}"/>
            </c:ext>
          </c:extLst>
        </c:ser>
        <c:ser>
          <c:idx val="1"/>
          <c:order val="1"/>
          <c:tx>
            <c:strRef>
              <c:f>'pivot table'!$L$3:$L$4</c:f>
              <c:strCache>
                <c:ptCount val="1"/>
                <c:pt idx="0">
                  <c:v>Male</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table'!$J$5:$J$10</c:f>
              <c:strCache>
                <c:ptCount val="5"/>
                <c:pt idx="0">
                  <c:v>18-25</c:v>
                </c:pt>
                <c:pt idx="1">
                  <c:v>26-35</c:v>
                </c:pt>
                <c:pt idx="2">
                  <c:v>36-45</c:v>
                </c:pt>
                <c:pt idx="3">
                  <c:v>46-55</c:v>
                </c:pt>
                <c:pt idx="4">
                  <c:v>56 &lt;</c:v>
                </c:pt>
              </c:strCache>
            </c:strRef>
          </c:cat>
          <c:val>
            <c:numRef>
              <c:f>'pivot table'!$L$5:$L$10</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0-2C3A-40B4-8A21-60E5D5B1D86D}"/>
            </c:ext>
          </c:extLst>
        </c:ser>
        <c:dLbls>
          <c:showLegendKey val="0"/>
          <c:showVal val="0"/>
          <c:showCatName val="0"/>
          <c:showSerName val="0"/>
          <c:showPercent val="0"/>
          <c:showBubbleSize val="0"/>
        </c:dLbls>
        <c:gapWidth val="219"/>
        <c:overlap val="-27"/>
        <c:axId val="208130176"/>
        <c:axId val="208138816"/>
      </c:barChart>
      <c:catAx>
        <c:axId val="20813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8138816"/>
        <c:crosses val="autoZero"/>
        <c:auto val="1"/>
        <c:lblAlgn val="ctr"/>
        <c:lblOffset val="100"/>
        <c:noMultiLvlLbl val="0"/>
      </c:catAx>
      <c:valAx>
        <c:axId val="208138816"/>
        <c:scaling>
          <c:orientation val="minMax"/>
        </c:scaling>
        <c:delete val="1"/>
        <c:axPos val="l"/>
        <c:majorGridlines>
          <c:spPr>
            <a:ln w="9525" cap="flat" cmpd="sng" algn="ctr">
              <a:solidFill>
                <a:schemeClr val="tx1">
                  <a:lumMod val="15000"/>
                  <a:lumOff val="85000"/>
                </a:schemeClr>
              </a:solidFill>
              <a:prstDash val="dashDot"/>
              <a:round/>
            </a:ln>
            <a:effectLst/>
          </c:spPr>
        </c:majorGridlines>
        <c:numFmt formatCode="General" sourceLinked="1"/>
        <c:majorTickMark val="none"/>
        <c:minorTickMark val="none"/>
        <c:tickLblPos val="nextTo"/>
        <c:crossAx val="20813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789727590948414E-2"/>
          <c:y val="0.10450077429313866"/>
          <c:w val="0.96621027240905155"/>
          <c:h val="0.77009829655509499"/>
        </c:manualLayout>
      </c:layout>
      <c:barChart>
        <c:barDir val="bar"/>
        <c:grouping val="stacked"/>
        <c:varyColors val="0"/>
        <c:ser>
          <c:idx val="0"/>
          <c:order val="0"/>
          <c:spPr>
            <a:solidFill>
              <a:srgbClr val="FFC000"/>
            </a:solidFill>
            <a:ln>
              <a:noFill/>
            </a:ln>
            <a:effectLst/>
          </c:spPr>
          <c:invertIfNegative val="0"/>
          <c:val>
            <c:numRef>
              <c:f>'pivot table'!$R$12</c:f>
              <c:numCache>
                <c:formatCode>0%</c:formatCode>
                <c:ptCount val="1"/>
                <c:pt idx="0">
                  <c:v>0.16</c:v>
                </c:pt>
              </c:numCache>
            </c:numRef>
          </c:val>
          <c:extLst>
            <c:ext xmlns:c16="http://schemas.microsoft.com/office/drawing/2014/chart" uri="{C3380CC4-5D6E-409C-BE32-E72D297353CC}">
              <c16:uniqueId val="{00000000-F8F4-427A-940E-A63FD1E8B921}"/>
            </c:ext>
          </c:extLst>
        </c:ser>
        <c:ser>
          <c:idx val="1"/>
          <c:order val="1"/>
          <c:spPr>
            <a:solidFill>
              <a:schemeClr val="bg2">
                <a:lumMod val="25000"/>
              </a:schemeClr>
            </a:solidFill>
            <a:ln>
              <a:noFill/>
            </a:ln>
            <a:effectLst/>
          </c:spPr>
          <c:invertIfNegative val="0"/>
          <c:val>
            <c:numRef>
              <c:f>'pivot table'!$S$12</c:f>
              <c:numCache>
                <c:formatCode>0%</c:formatCode>
                <c:ptCount val="1"/>
                <c:pt idx="0">
                  <c:v>0.84</c:v>
                </c:pt>
              </c:numCache>
            </c:numRef>
          </c:val>
          <c:extLst>
            <c:ext xmlns:c16="http://schemas.microsoft.com/office/drawing/2014/chart" uri="{C3380CC4-5D6E-409C-BE32-E72D297353CC}">
              <c16:uniqueId val="{00000001-F8F4-427A-940E-A63FD1E8B921}"/>
            </c:ext>
          </c:extLst>
        </c:ser>
        <c:dLbls>
          <c:showLegendKey val="0"/>
          <c:showVal val="0"/>
          <c:showCatName val="0"/>
          <c:showSerName val="0"/>
          <c:showPercent val="0"/>
          <c:showBubbleSize val="0"/>
        </c:dLbls>
        <c:gapWidth val="150"/>
        <c:overlap val="100"/>
        <c:axId val="1009938544"/>
        <c:axId val="1009939024"/>
      </c:barChart>
      <c:catAx>
        <c:axId val="1009938544"/>
        <c:scaling>
          <c:orientation val="minMax"/>
        </c:scaling>
        <c:delete val="1"/>
        <c:axPos val="l"/>
        <c:numFmt formatCode="General" sourceLinked="1"/>
        <c:majorTickMark val="none"/>
        <c:minorTickMark val="none"/>
        <c:tickLblPos val="nextTo"/>
        <c:crossAx val="1009939024"/>
        <c:crosses val="autoZero"/>
        <c:auto val="1"/>
        <c:lblAlgn val="ctr"/>
        <c:lblOffset val="100"/>
        <c:noMultiLvlLbl val="0"/>
      </c:catAx>
      <c:valAx>
        <c:axId val="1009939024"/>
        <c:scaling>
          <c:orientation val="minMax"/>
        </c:scaling>
        <c:delete val="1"/>
        <c:axPos val="b"/>
        <c:numFmt formatCode="0%" sourceLinked="1"/>
        <c:majorTickMark val="none"/>
        <c:minorTickMark val="none"/>
        <c:tickLblPos val="nextTo"/>
        <c:crossAx val="10099385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2346167971253486"/>
          <c:w val="1"/>
          <c:h val="0.87653832028746514"/>
        </c:manualLayout>
      </c:layout>
      <c:barChart>
        <c:barDir val="bar"/>
        <c:grouping val="stacked"/>
        <c:varyColors val="0"/>
        <c:ser>
          <c:idx val="0"/>
          <c:order val="0"/>
          <c:spPr>
            <a:solidFill>
              <a:srgbClr val="FFC000"/>
            </a:solidFill>
            <a:ln>
              <a:noFill/>
            </a:ln>
            <a:effectLst/>
          </c:spPr>
          <c:invertIfNegative val="0"/>
          <c:val>
            <c:numRef>
              <c:f>'pivot table'!$R$13</c:f>
              <c:numCache>
                <c:formatCode>0%</c:formatCode>
                <c:ptCount val="1"/>
                <c:pt idx="0">
                  <c:v>0.38</c:v>
                </c:pt>
              </c:numCache>
            </c:numRef>
          </c:val>
          <c:extLst>
            <c:ext xmlns:c16="http://schemas.microsoft.com/office/drawing/2014/chart" uri="{C3380CC4-5D6E-409C-BE32-E72D297353CC}">
              <c16:uniqueId val="{00000000-131E-4F18-BD40-CB0F951CA4AF}"/>
            </c:ext>
          </c:extLst>
        </c:ser>
        <c:ser>
          <c:idx val="1"/>
          <c:order val="1"/>
          <c:spPr>
            <a:solidFill>
              <a:schemeClr val="bg2">
                <a:lumMod val="25000"/>
              </a:schemeClr>
            </a:solidFill>
            <a:ln>
              <a:noFill/>
            </a:ln>
            <a:effectLst/>
          </c:spPr>
          <c:invertIfNegative val="0"/>
          <c:val>
            <c:numRef>
              <c:f>'pivot table'!$S$13</c:f>
              <c:numCache>
                <c:formatCode>0%</c:formatCode>
                <c:ptCount val="1"/>
                <c:pt idx="0">
                  <c:v>0.62</c:v>
                </c:pt>
              </c:numCache>
            </c:numRef>
          </c:val>
          <c:extLst>
            <c:ext xmlns:c16="http://schemas.microsoft.com/office/drawing/2014/chart" uri="{C3380CC4-5D6E-409C-BE32-E72D297353CC}">
              <c16:uniqueId val="{00000001-131E-4F18-BD40-CB0F951CA4AF}"/>
            </c:ext>
          </c:extLst>
        </c:ser>
        <c:dLbls>
          <c:showLegendKey val="0"/>
          <c:showVal val="0"/>
          <c:showCatName val="0"/>
          <c:showSerName val="0"/>
          <c:showPercent val="0"/>
          <c:showBubbleSize val="0"/>
        </c:dLbls>
        <c:gapWidth val="150"/>
        <c:overlap val="100"/>
        <c:axId val="208117696"/>
        <c:axId val="208122496"/>
      </c:barChart>
      <c:catAx>
        <c:axId val="208117696"/>
        <c:scaling>
          <c:orientation val="minMax"/>
        </c:scaling>
        <c:delete val="1"/>
        <c:axPos val="l"/>
        <c:numFmt formatCode="General" sourceLinked="1"/>
        <c:majorTickMark val="none"/>
        <c:minorTickMark val="none"/>
        <c:tickLblPos val="nextTo"/>
        <c:crossAx val="208122496"/>
        <c:crosses val="autoZero"/>
        <c:auto val="1"/>
        <c:lblAlgn val="ctr"/>
        <c:lblOffset val="100"/>
        <c:noMultiLvlLbl val="0"/>
      </c:catAx>
      <c:valAx>
        <c:axId val="208122496"/>
        <c:scaling>
          <c:orientation val="minMax"/>
        </c:scaling>
        <c:delete val="1"/>
        <c:axPos val="b"/>
        <c:numFmt formatCode="0%" sourceLinked="1"/>
        <c:majorTickMark val="none"/>
        <c:minorTickMark val="none"/>
        <c:tickLblPos val="nextTo"/>
        <c:crossAx val="2081176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135656759448046E-4"/>
          <c:y val="0.19564271748636633"/>
          <c:w val="0.99927875214256456"/>
          <c:h val="0.80435799363356608"/>
        </c:manualLayout>
      </c:layout>
      <c:barChart>
        <c:barDir val="bar"/>
        <c:grouping val="percentStacked"/>
        <c:varyColors val="0"/>
        <c:ser>
          <c:idx val="0"/>
          <c:order val="0"/>
          <c:spPr>
            <a:solidFill>
              <a:srgbClr val="FFC000"/>
            </a:solidFill>
            <a:ln>
              <a:noFill/>
            </a:ln>
            <a:effectLst/>
          </c:spPr>
          <c:invertIfNegative val="0"/>
          <c:val>
            <c:numRef>
              <c:f>'pivot table'!$R$11</c:f>
              <c:numCache>
                <c:formatCode>0%</c:formatCode>
                <c:ptCount val="1"/>
                <c:pt idx="0">
                  <c:v>0.46</c:v>
                </c:pt>
              </c:numCache>
            </c:numRef>
          </c:val>
          <c:extLst>
            <c:ext xmlns:c16="http://schemas.microsoft.com/office/drawing/2014/chart" uri="{C3380CC4-5D6E-409C-BE32-E72D297353CC}">
              <c16:uniqueId val="{00000000-1DE2-40B4-B2F8-044D0F81F4D8}"/>
            </c:ext>
          </c:extLst>
        </c:ser>
        <c:ser>
          <c:idx val="1"/>
          <c:order val="1"/>
          <c:spPr>
            <a:noFill/>
            <a:ln>
              <a:noFill/>
            </a:ln>
            <a:effectLst/>
          </c:spPr>
          <c:invertIfNegative val="0"/>
          <c:dPt>
            <c:idx val="0"/>
            <c:invertIfNegative val="0"/>
            <c:bubble3D val="0"/>
            <c:spPr>
              <a:solidFill>
                <a:schemeClr val="bg2">
                  <a:lumMod val="25000"/>
                </a:schemeClr>
              </a:solidFill>
              <a:ln>
                <a:noFill/>
              </a:ln>
              <a:effectLst/>
            </c:spPr>
            <c:extLst>
              <c:ext xmlns:c16="http://schemas.microsoft.com/office/drawing/2014/chart" uri="{C3380CC4-5D6E-409C-BE32-E72D297353CC}">
                <c16:uniqueId val="{00000002-1DE2-40B4-B2F8-044D0F81F4D8}"/>
              </c:ext>
            </c:extLst>
          </c:dPt>
          <c:val>
            <c:numRef>
              <c:f>'pivot table'!$S$11</c:f>
              <c:numCache>
                <c:formatCode>0%</c:formatCode>
                <c:ptCount val="1"/>
                <c:pt idx="0">
                  <c:v>0.54</c:v>
                </c:pt>
              </c:numCache>
            </c:numRef>
          </c:val>
          <c:extLst>
            <c:ext xmlns:c16="http://schemas.microsoft.com/office/drawing/2014/chart" uri="{C3380CC4-5D6E-409C-BE32-E72D297353CC}">
              <c16:uniqueId val="{00000001-1DE2-40B4-B2F8-044D0F81F4D8}"/>
            </c:ext>
          </c:extLst>
        </c:ser>
        <c:dLbls>
          <c:showLegendKey val="0"/>
          <c:showVal val="0"/>
          <c:showCatName val="0"/>
          <c:showSerName val="0"/>
          <c:showPercent val="0"/>
          <c:showBubbleSize val="0"/>
        </c:dLbls>
        <c:gapWidth val="150"/>
        <c:overlap val="100"/>
        <c:axId val="738436704"/>
        <c:axId val="738437184"/>
      </c:barChart>
      <c:catAx>
        <c:axId val="738436704"/>
        <c:scaling>
          <c:orientation val="minMax"/>
        </c:scaling>
        <c:delete val="1"/>
        <c:axPos val="l"/>
        <c:numFmt formatCode="General" sourceLinked="1"/>
        <c:majorTickMark val="none"/>
        <c:minorTickMark val="none"/>
        <c:tickLblPos val="nextTo"/>
        <c:crossAx val="738437184"/>
        <c:crosses val="autoZero"/>
        <c:auto val="1"/>
        <c:lblAlgn val="ctr"/>
        <c:lblOffset val="100"/>
        <c:noMultiLvlLbl val="0"/>
      </c:catAx>
      <c:valAx>
        <c:axId val="738437184"/>
        <c:scaling>
          <c:orientation val="minMax"/>
        </c:scaling>
        <c:delete val="1"/>
        <c:axPos val="b"/>
        <c:numFmt formatCode="0%" sourceLinked="1"/>
        <c:majorTickMark val="none"/>
        <c:minorTickMark val="none"/>
        <c:tickLblPos val="nextTo"/>
        <c:crossAx val="7384367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063536544831463"/>
          <c:y val="0.13467592592592595"/>
          <c:w val="0.57872955563960615"/>
          <c:h val="0.73627260134149886"/>
        </c:manualLayout>
      </c:layout>
      <c:doughnutChart>
        <c:varyColors val="1"/>
        <c:ser>
          <c:idx val="0"/>
          <c:order val="0"/>
          <c:dPt>
            <c:idx val="0"/>
            <c:bubble3D val="0"/>
            <c:spPr>
              <a:solidFill>
                <a:schemeClr val="bg2"/>
              </a:solidFill>
              <a:ln w="19050">
                <a:solidFill>
                  <a:schemeClr val="lt1"/>
                </a:solidFill>
              </a:ln>
              <a:effectLst/>
            </c:spPr>
            <c:extLst>
              <c:ext xmlns:c16="http://schemas.microsoft.com/office/drawing/2014/chart" uri="{C3380CC4-5D6E-409C-BE32-E72D297353CC}">
                <c16:uniqueId val="{00000001-BC63-4F24-91E0-CB9A3F182BC4}"/>
              </c:ext>
            </c:extLst>
          </c:dPt>
          <c:dPt>
            <c:idx val="1"/>
            <c:bubble3D val="0"/>
            <c:spPr>
              <a:solidFill>
                <a:srgbClr val="1F1F1F"/>
              </a:solidFill>
              <a:ln w="19050">
                <a:noFill/>
              </a:ln>
              <a:effectLst/>
            </c:spPr>
            <c:extLst>
              <c:ext xmlns:c16="http://schemas.microsoft.com/office/drawing/2014/chart" uri="{C3380CC4-5D6E-409C-BE32-E72D297353CC}">
                <c16:uniqueId val="{00000003-BC63-4F24-91E0-CB9A3F182BC4}"/>
              </c:ext>
            </c:extLst>
          </c:dPt>
          <c:dLbls>
            <c:delete val="1"/>
          </c:dLbls>
          <c:val>
            <c:numRef>
              <c:f>'pivot table'!$L$19:$M$19</c:f>
              <c:numCache>
                <c:formatCode>0%</c:formatCode>
                <c:ptCount val="2"/>
                <c:pt idx="0">
                  <c:v>0.48</c:v>
                </c:pt>
                <c:pt idx="1">
                  <c:v>0.52</c:v>
                </c:pt>
              </c:numCache>
            </c:numRef>
          </c:val>
          <c:extLst>
            <c:ext xmlns:c16="http://schemas.microsoft.com/office/drawing/2014/chart" uri="{C3380CC4-5D6E-409C-BE32-E72D297353CC}">
              <c16:uniqueId val="{00000004-BC63-4F24-91E0-CB9A3F182BC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875757575757578"/>
          <c:y val="0.23331456456456456"/>
          <c:w val="0.65742915526774903"/>
          <c:h val="0.60794474403196741"/>
        </c:manualLayout>
      </c:layout>
      <c:doughnutChart>
        <c:varyColors val="1"/>
        <c:ser>
          <c:idx val="0"/>
          <c:order val="0"/>
          <c:dPt>
            <c:idx val="0"/>
            <c:bubble3D val="0"/>
            <c:spPr>
              <a:solidFill>
                <a:srgbClr val="FFC000"/>
              </a:solidFill>
              <a:ln w="19050">
                <a:noFill/>
              </a:ln>
              <a:effectLst/>
            </c:spPr>
            <c:extLst>
              <c:ext xmlns:c16="http://schemas.microsoft.com/office/drawing/2014/chart" uri="{C3380CC4-5D6E-409C-BE32-E72D297353CC}">
                <c16:uniqueId val="{00000001-8DA0-4E2B-98BC-28A83C22C716}"/>
              </c:ext>
            </c:extLst>
          </c:dPt>
          <c:dPt>
            <c:idx val="1"/>
            <c:bubble3D val="0"/>
            <c:spPr>
              <a:solidFill>
                <a:srgbClr val="1F1F1F"/>
              </a:solidFill>
              <a:ln w="19050">
                <a:noFill/>
              </a:ln>
              <a:effectLst/>
            </c:spPr>
            <c:extLst>
              <c:ext xmlns:c16="http://schemas.microsoft.com/office/drawing/2014/chart" uri="{C3380CC4-5D6E-409C-BE32-E72D297353CC}">
                <c16:uniqueId val="{00000003-8DA0-4E2B-98BC-28A83C22C716}"/>
              </c:ext>
            </c:extLst>
          </c:dPt>
          <c:val>
            <c:numRef>
              <c:f>'pivot table'!$L$18:$M$18</c:f>
              <c:numCache>
                <c:formatCode>0%</c:formatCode>
                <c:ptCount val="2"/>
                <c:pt idx="0">
                  <c:v>0.52</c:v>
                </c:pt>
                <c:pt idx="1">
                  <c:v>0.48</c:v>
                </c:pt>
              </c:numCache>
            </c:numRef>
          </c:val>
          <c:extLst>
            <c:ext xmlns:c16="http://schemas.microsoft.com/office/drawing/2014/chart" uri="{C3380CC4-5D6E-409C-BE32-E72D297353CC}">
              <c16:uniqueId val="{00000004-8DA0-4E2B-98BC-28A83C22C71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222222222222215E-2"/>
          <c:y val="8.4704542962828144E-2"/>
          <c:w val="0.84793283355448568"/>
          <c:h val="0.67003098419789697"/>
        </c:manualLayout>
      </c:layout>
      <c:barChart>
        <c:barDir val="col"/>
        <c:grouping val="clustered"/>
        <c:varyColors val="0"/>
        <c:ser>
          <c:idx val="0"/>
          <c:order val="0"/>
          <c:tx>
            <c:strRef>
              <c:f>'pivot table'!$F$12</c:f>
              <c:strCache>
                <c:ptCount val="1"/>
                <c:pt idx="0">
                  <c:v>Analyst</c:v>
                </c:pt>
              </c:strCache>
            </c:strRef>
          </c:tx>
          <c:spPr>
            <a:solidFill>
              <a:srgbClr val="7E3706"/>
            </a:solidFill>
            <a:ln>
              <a:noFill/>
            </a:ln>
            <a:effectLst/>
          </c:spPr>
          <c:invertIfNegative val="0"/>
          <c:val>
            <c:numRef>
              <c:f>'pivot table'!$H$12</c:f>
              <c:numCache>
                <c:formatCode>_ * #,##0_ ;_ * \-#,##0_ ;_ * "-"??_ ;_ @_ </c:formatCode>
                <c:ptCount val="1"/>
                <c:pt idx="0">
                  <c:v>28</c:v>
                </c:pt>
              </c:numCache>
            </c:numRef>
          </c:val>
          <c:extLst>
            <c:ext xmlns:c16="http://schemas.microsoft.com/office/drawing/2014/chart" uri="{C3380CC4-5D6E-409C-BE32-E72D297353CC}">
              <c16:uniqueId val="{00000000-D90A-4EB2-B761-A4C6D6F8BBE0}"/>
            </c:ext>
          </c:extLst>
        </c:ser>
        <c:ser>
          <c:idx val="1"/>
          <c:order val="1"/>
          <c:tx>
            <c:strRef>
              <c:f>'pivot table'!$F$13</c:f>
              <c:strCache>
                <c:ptCount val="1"/>
                <c:pt idx="0">
                  <c:v>Designer</c:v>
                </c:pt>
              </c:strCache>
            </c:strRef>
          </c:tx>
          <c:spPr>
            <a:solidFill>
              <a:schemeClr val="bg2">
                <a:lumMod val="50000"/>
              </a:schemeClr>
            </a:solidFill>
            <a:ln>
              <a:noFill/>
            </a:ln>
            <a:effectLst/>
          </c:spPr>
          <c:invertIfNegative val="0"/>
          <c:val>
            <c:numRef>
              <c:f>'pivot table'!$H$13</c:f>
              <c:numCache>
                <c:formatCode>_ * #,##0_ ;_ * \-#,##0_ ;_ * "-"??_ ;_ @_ </c:formatCode>
                <c:ptCount val="1"/>
                <c:pt idx="0">
                  <c:v>110</c:v>
                </c:pt>
              </c:numCache>
            </c:numRef>
          </c:val>
          <c:extLst>
            <c:ext xmlns:c16="http://schemas.microsoft.com/office/drawing/2014/chart" uri="{C3380CC4-5D6E-409C-BE32-E72D297353CC}">
              <c16:uniqueId val="{00000001-D90A-4EB2-B761-A4C6D6F8BBE0}"/>
            </c:ext>
          </c:extLst>
        </c:ser>
        <c:ser>
          <c:idx val="2"/>
          <c:order val="2"/>
          <c:tx>
            <c:strRef>
              <c:f>'pivot table'!$F$14</c:f>
              <c:strCache>
                <c:ptCount val="1"/>
                <c:pt idx="0">
                  <c:v>Developer</c:v>
                </c:pt>
              </c:strCache>
            </c:strRef>
          </c:tx>
          <c:spPr>
            <a:solidFill>
              <a:srgbClr val="808004"/>
            </a:solidFill>
            <a:ln>
              <a:noFill/>
            </a:ln>
            <a:effectLst/>
          </c:spPr>
          <c:invertIfNegative val="0"/>
          <c:val>
            <c:numRef>
              <c:f>'pivot table'!$H$14</c:f>
              <c:numCache>
                <c:formatCode>_ * #,##0_ ;_ * \-#,##0_ ;_ * "-"??_ ;_ @_ </c:formatCode>
                <c:ptCount val="1"/>
                <c:pt idx="0">
                  <c:v>104</c:v>
                </c:pt>
              </c:numCache>
            </c:numRef>
          </c:val>
          <c:extLst>
            <c:ext xmlns:c16="http://schemas.microsoft.com/office/drawing/2014/chart" uri="{C3380CC4-5D6E-409C-BE32-E72D297353CC}">
              <c16:uniqueId val="{00000002-D90A-4EB2-B761-A4C6D6F8BBE0}"/>
            </c:ext>
          </c:extLst>
        </c:ser>
        <c:ser>
          <c:idx val="3"/>
          <c:order val="3"/>
          <c:tx>
            <c:strRef>
              <c:f>'pivot table'!$F$15</c:f>
              <c:strCache>
                <c:ptCount val="1"/>
                <c:pt idx="0">
                  <c:v>HR Specialist</c:v>
                </c:pt>
              </c:strCache>
            </c:strRef>
          </c:tx>
          <c:spPr>
            <a:solidFill>
              <a:schemeClr val="bg1"/>
            </a:solidFill>
            <a:ln>
              <a:noFill/>
            </a:ln>
            <a:effectLst/>
          </c:spPr>
          <c:invertIfNegative val="0"/>
          <c:val>
            <c:numRef>
              <c:f>'pivot table'!$H$15</c:f>
              <c:numCache>
                <c:formatCode>_ * #,##0_ ;_ * \-#,##0_ ;_ * "-"??_ ;_ @_ </c:formatCode>
                <c:ptCount val="1"/>
                <c:pt idx="0">
                  <c:v>123</c:v>
                </c:pt>
              </c:numCache>
            </c:numRef>
          </c:val>
          <c:extLst>
            <c:ext xmlns:c16="http://schemas.microsoft.com/office/drawing/2014/chart" uri="{C3380CC4-5D6E-409C-BE32-E72D297353CC}">
              <c16:uniqueId val="{00000003-D90A-4EB2-B761-A4C6D6F8BBE0}"/>
            </c:ext>
          </c:extLst>
        </c:ser>
        <c:ser>
          <c:idx val="4"/>
          <c:order val="4"/>
          <c:tx>
            <c:strRef>
              <c:f>'pivot table'!$F$16</c:f>
              <c:strCache>
                <c:ptCount val="1"/>
                <c:pt idx="0">
                  <c:v>Manager</c:v>
                </c:pt>
              </c:strCache>
            </c:strRef>
          </c:tx>
          <c:spPr>
            <a:solidFill>
              <a:srgbClr val="FFC000"/>
            </a:solidFill>
            <a:ln>
              <a:noFill/>
            </a:ln>
            <a:effectLst/>
          </c:spPr>
          <c:invertIfNegative val="0"/>
          <c:val>
            <c:numRef>
              <c:f>'pivot table'!$H$16</c:f>
              <c:numCache>
                <c:formatCode>_ * #,##0_ ;_ * \-#,##0_ ;_ * "-"??_ ;_ @_ </c:formatCode>
                <c:ptCount val="1"/>
                <c:pt idx="0">
                  <c:v>122</c:v>
                </c:pt>
              </c:numCache>
            </c:numRef>
          </c:val>
          <c:extLst>
            <c:ext xmlns:c16="http://schemas.microsoft.com/office/drawing/2014/chart" uri="{C3380CC4-5D6E-409C-BE32-E72D297353CC}">
              <c16:uniqueId val="{00000004-D90A-4EB2-B761-A4C6D6F8BBE0}"/>
            </c:ext>
          </c:extLst>
        </c:ser>
        <c:dLbls>
          <c:showLegendKey val="0"/>
          <c:showVal val="0"/>
          <c:showCatName val="0"/>
          <c:showSerName val="0"/>
          <c:showPercent val="0"/>
          <c:showBubbleSize val="0"/>
        </c:dLbls>
        <c:gapWidth val="219"/>
        <c:overlap val="-27"/>
        <c:axId val="344460448"/>
        <c:axId val="344458528"/>
      </c:barChart>
      <c:catAx>
        <c:axId val="344460448"/>
        <c:scaling>
          <c:orientation val="minMax"/>
        </c:scaling>
        <c:delete val="1"/>
        <c:axPos val="b"/>
        <c:numFmt formatCode="General" sourceLinked="1"/>
        <c:majorTickMark val="none"/>
        <c:minorTickMark val="none"/>
        <c:tickLblPos val="nextTo"/>
        <c:crossAx val="344458528"/>
        <c:crosses val="autoZero"/>
        <c:auto val="1"/>
        <c:lblAlgn val="ctr"/>
        <c:lblOffset val="100"/>
        <c:noMultiLvlLbl val="0"/>
      </c:catAx>
      <c:valAx>
        <c:axId val="344458528"/>
        <c:scaling>
          <c:orientation val="minMax"/>
        </c:scaling>
        <c:delete val="1"/>
        <c:axPos val="l"/>
        <c:majorGridlines>
          <c:spPr>
            <a:ln w="9525" cap="rnd" cmpd="sng" algn="ctr">
              <a:solidFill>
                <a:srgbClr val="FFC000">
                  <a:alpha val="35000"/>
                </a:srgbClr>
              </a:solidFill>
              <a:prstDash val="dashDot"/>
              <a:round/>
            </a:ln>
            <a:effectLst/>
          </c:spPr>
        </c:majorGridlines>
        <c:numFmt formatCode="_ * #,##0_ ;_ * \-#,##0_ ;_ * &quot;-&quot;??_ ;_ @_ " sourceLinked="1"/>
        <c:majorTickMark val="none"/>
        <c:minorTickMark val="none"/>
        <c:tickLblPos val="nextTo"/>
        <c:crossAx val="344460448"/>
        <c:crosses val="autoZero"/>
        <c:crossBetween val="between"/>
      </c:valAx>
      <c:spPr>
        <a:noFill/>
        <a:ln>
          <a:noFill/>
        </a:ln>
        <a:effectLst/>
      </c:spPr>
    </c:plotArea>
    <c:legend>
      <c:legendPos val="b"/>
      <c:layout>
        <c:manualLayout>
          <c:xMode val="edge"/>
          <c:yMode val="edge"/>
          <c:x val="0"/>
          <c:y val="0.79746369199644196"/>
          <c:w val="0.99580008565183098"/>
          <c:h val="0.19128489097742535"/>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bg2"/>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487765910113257"/>
          <c:y val="9.1066666405917443E-2"/>
          <c:w val="0.56358106837415489"/>
          <c:h val="0.87435817217517919"/>
        </c:manualLayout>
      </c:layout>
      <c:barChart>
        <c:barDir val="bar"/>
        <c:grouping val="clustered"/>
        <c:varyColors val="0"/>
        <c:ser>
          <c:idx val="0"/>
          <c:order val="0"/>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table'!$Y$11:$Y$15</c:f>
              <c:strCache>
                <c:ptCount val="5"/>
                <c:pt idx="0">
                  <c:v>Central</c:v>
                </c:pt>
                <c:pt idx="1">
                  <c:v>East</c:v>
                </c:pt>
                <c:pt idx="2">
                  <c:v>North</c:v>
                </c:pt>
                <c:pt idx="3">
                  <c:v>South</c:v>
                </c:pt>
                <c:pt idx="4">
                  <c:v>West</c:v>
                </c:pt>
              </c:strCache>
            </c:strRef>
          </c:cat>
          <c:val>
            <c:numRef>
              <c:f>'pivot table'!$Z$11:$Z$15</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8B98-4EA7-B5F0-32C191C46205}"/>
            </c:ext>
          </c:extLst>
        </c:ser>
        <c:dLbls>
          <c:dLblPos val="outEnd"/>
          <c:showLegendKey val="0"/>
          <c:showVal val="1"/>
          <c:showCatName val="0"/>
          <c:showSerName val="0"/>
          <c:showPercent val="0"/>
          <c:showBubbleSize val="0"/>
        </c:dLbls>
        <c:gapWidth val="25"/>
        <c:axId val="208137376"/>
        <c:axId val="208139296"/>
      </c:barChart>
      <c:catAx>
        <c:axId val="2081373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bg1"/>
                </a:solidFill>
                <a:latin typeface="+mn-lt"/>
                <a:ea typeface="+mn-ea"/>
                <a:cs typeface="+mn-cs"/>
              </a:defRPr>
            </a:pPr>
            <a:endParaRPr lang="en-US"/>
          </a:p>
        </c:txPr>
        <c:crossAx val="208139296"/>
        <c:crosses val="autoZero"/>
        <c:auto val="1"/>
        <c:lblAlgn val="ctr"/>
        <c:lblOffset val="100"/>
        <c:noMultiLvlLbl val="0"/>
      </c:catAx>
      <c:valAx>
        <c:axId val="208139296"/>
        <c:scaling>
          <c:orientation val="minMax"/>
        </c:scaling>
        <c:delete val="1"/>
        <c:axPos val="b"/>
        <c:numFmt formatCode="General" sourceLinked="1"/>
        <c:majorTickMark val="out"/>
        <c:minorTickMark val="none"/>
        <c:tickLblPos val="nextTo"/>
        <c:crossAx val="20813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9.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138546</xdr:rowOff>
    </xdr:from>
    <xdr:to>
      <xdr:col>17</xdr:col>
      <xdr:colOff>76800</xdr:colOff>
      <xdr:row>33</xdr:row>
      <xdr:rowOff>138546</xdr:rowOff>
    </xdr:to>
    <xdr:sp macro="" textlink="">
      <xdr:nvSpPr>
        <xdr:cNvPr id="2" name="Rectangle: Rounded Corners 1">
          <a:extLst>
            <a:ext uri="{FF2B5EF4-FFF2-40B4-BE49-F238E27FC236}">
              <a16:creationId xmlns:a16="http://schemas.microsoft.com/office/drawing/2014/main" id="{B4E3E979-0624-4C7D-834F-C007FF59EAB2}"/>
            </a:ext>
          </a:extLst>
        </xdr:cNvPr>
        <xdr:cNvSpPr/>
      </xdr:nvSpPr>
      <xdr:spPr>
        <a:xfrm>
          <a:off x="0" y="138546"/>
          <a:ext cx="10413830" cy="6103697"/>
        </a:xfrm>
        <a:prstGeom prst="roundRect">
          <a:avLst>
            <a:gd name="adj" fmla="val 4959"/>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15727</xdr:colOff>
      <xdr:row>20</xdr:row>
      <xdr:rowOff>16214</xdr:rowOff>
    </xdr:from>
    <xdr:to>
      <xdr:col>11</xdr:col>
      <xdr:colOff>551235</xdr:colOff>
      <xdr:row>32</xdr:row>
      <xdr:rowOff>129703</xdr:rowOff>
    </xdr:to>
    <xdr:sp macro="" textlink="">
      <xdr:nvSpPr>
        <xdr:cNvPr id="86" name="Rectangle: Rounded Corners 85">
          <a:extLst>
            <a:ext uri="{FF2B5EF4-FFF2-40B4-BE49-F238E27FC236}">
              <a16:creationId xmlns:a16="http://schemas.microsoft.com/office/drawing/2014/main" id="{D602F92C-8320-482E-BCCC-AE91C829D085}"/>
            </a:ext>
          </a:extLst>
        </xdr:cNvPr>
        <xdr:cNvSpPr/>
      </xdr:nvSpPr>
      <xdr:spPr>
        <a:xfrm>
          <a:off x="4879557" y="3753257"/>
          <a:ext cx="2359444" cy="2350850"/>
        </a:xfrm>
        <a:prstGeom prst="roundRect">
          <a:avLst>
            <a:gd name="adj" fmla="val 693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0</xdr:colOff>
      <xdr:row>24</xdr:row>
      <xdr:rowOff>0</xdr:rowOff>
    </xdr:from>
    <xdr:to>
      <xdr:col>11</xdr:col>
      <xdr:colOff>68580</xdr:colOff>
      <xdr:row>25</xdr:row>
      <xdr:rowOff>33120</xdr:rowOff>
    </xdr:to>
    <xdr:sp macro="" textlink="">
      <xdr:nvSpPr>
        <xdr:cNvPr id="115" name="Rectangle: Rounded Corners 114">
          <a:extLst>
            <a:ext uri="{FF2B5EF4-FFF2-40B4-BE49-F238E27FC236}">
              <a16:creationId xmlns:a16="http://schemas.microsoft.com/office/drawing/2014/main" id="{BEE9578F-8FA5-4924-B21E-826CEF407D7C}"/>
            </a:ext>
          </a:extLst>
        </xdr:cNvPr>
        <xdr:cNvSpPr/>
      </xdr:nvSpPr>
      <xdr:spPr>
        <a:xfrm>
          <a:off x="6096000" y="4396740"/>
          <a:ext cx="678180" cy="21600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0</xdr:colOff>
      <xdr:row>26</xdr:row>
      <xdr:rowOff>137160</xdr:rowOff>
    </xdr:from>
    <xdr:to>
      <xdr:col>11</xdr:col>
      <xdr:colOff>68580</xdr:colOff>
      <xdr:row>27</xdr:row>
      <xdr:rowOff>170280</xdr:rowOff>
    </xdr:to>
    <xdr:sp macro="" textlink="">
      <xdr:nvSpPr>
        <xdr:cNvPr id="121" name="Rectangle: Rounded Corners 120">
          <a:extLst>
            <a:ext uri="{FF2B5EF4-FFF2-40B4-BE49-F238E27FC236}">
              <a16:creationId xmlns:a16="http://schemas.microsoft.com/office/drawing/2014/main" id="{78205E83-4D41-4CC3-B18D-9AF6F7FBCE0F}"/>
            </a:ext>
          </a:extLst>
        </xdr:cNvPr>
        <xdr:cNvSpPr/>
      </xdr:nvSpPr>
      <xdr:spPr>
        <a:xfrm>
          <a:off x="6096000" y="4899660"/>
          <a:ext cx="678180" cy="21600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0</xdr:colOff>
      <xdr:row>28</xdr:row>
      <xdr:rowOff>0</xdr:rowOff>
    </xdr:from>
    <xdr:to>
      <xdr:col>11</xdr:col>
      <xdr:colOff>68580</xdr:colOff>
      <xdr:row>29</xdr:row>
      <xdr:rowOff>33120</xdr:rowOff>
    </xdr:to>
    <xdr:sp macro="" textlink="">
      <xdr:nvSpPr>
        <xdr:cNvPr id="122" name="Rectangle: Rounded Corners 121">
          <a:extLst>
            <a:ext uri="{FF2B5EF4-FFF2-40B4-BE49-F238E27FC236}">
              <a16:creationId xmlns:a16="http://schemas.microsoft.com/office/drawing/2014/main" id="{D3BC99B3-1D87-4C0B-81D3-AF6D6660849F}"/>
            </a:ext>
          </a:extLst>
        </xdr:cNvPr>
        <xdr:cNvSpPr/>
      </xdr:nvSpPr>
      <xdr:spPr>
        <a:xfrm>
          <a:off x="6096000" y="5128260"/>
          <a:ext cx="678180" cy="21600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0</xdr:colOff>
      <xdr:row>29</xdr:row>
      <xdr:rowOff>99060</xdr:rowOff>
    </xdr:from>
    <xdr:to>
      <xdr:col>11</xdr:col>
      <xdr:colOff>68580</xdr:colOff>
      <xdr:row>30</xdr:row>
      <xdr:rowOff>132180</xdr:rowOff>
    </xdr:to>
    <xdr:sp macro="" textlink="">
      <xdr:nvSpPr>
        <xdr:cNvPr id="123" name="Rectangle: Rounded Corners 122">
          <a:extLst>
            <a:ext uri="{FF2B5EF4-FFF2-40B4-BE49-F238E27FC236}">
              <a16:creationId xmlns:a16="http://schemas.microsoft.com/office/drawing/2014/main" id="{6EB1500F-DEA2-4FF3-91A4-E041ABFB7577}"/>
            </a:ext>
          </a:extLst>
        </xdr:cNvPr>
        <xdr:cNvSpPr/>
      </xdr:nvSpPr>
      <xdr:spPr>
        <a:xfrm>
          <a:off x="6096000" y="5410200"/>
          <a:ext cx="678180" cy="21600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0</xdr:colOff>
      <xdr:row>31</xdr:row>
      <xdr:rowOff>0</xdr:rowOff>
    </xdr:from>
    <xdr:to>
      <xdr:col>11</xdr:col>
      <xdr:colOff>68580</xdr:colOff>
      <xdr:row>32</xdr:row>
      <xdr:rowOff>33120</xdr:rowOff>
    </xdr:to>
    <xdr:sp macro="" textlink="">
      <xdr:nvSpPr>
        <xdr:cNvPr id="124" name="Rectangle: Rounded Corners 123">
          <a:extLst>
            <a:ext uri="{FF2B5EF4-FFF2-40B4-BE49-F238E27FC236}">
              <a16:creationId xmlns:a16="http://schemas.microsoft.com/office/drawing/2014/main" id="{BC1A58C0-729C-4681-ADE9-67701C9E75CC}"/>
            </a:ext>
          </a:extLst>
        </xdr:cNvPr>
        <xdr:cNvSpPr/>
      </xdr:nvSpPr>
      <xdr:spPr>
        <a:xfrm>
          <a:off x="6096000" y="5676900"/>
          <a:ext cx="678180" cy="21600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0</xdr:colOff>
      <xdr:row>25</xdr:row>
      <xdr:rowOff>53340</xdr:rowOff>
    </xdr:from>
    <xdr:to>
      <xdr:col>11</xdr:col>
      <xdr:colOff>68580</xdr:colOff>
      <xdr:row>26</xdr:row>
      <xdr:rowOff>86460</xdr:rowOff>
    </xdr:to>
    <xdr:sp macro="" textlink="">
      <xdr:nvSpPr>
        <xdr:cNvPr id="125" name="Rectangle: Rounded Corners 124">
          <a:extLst>
            <a:ext uri="{FF2B5EF4-FFF2-40B4-BE49-F238E27FC236}">
              <a16:creationId xmlns:a16="http://schemas.microsoft.com/office/drawing/2014/main" id="{30E50336-2E42-464E-B0C4-6CE3190DEF2D}"/>
            </a:ext>
          </a:extLst>
        </xdr:cNvPr>
        <xdr:cNvSpPr/>
      </xdr:nvSpPr>
      <xdr:spPr>
        <a:xfrm>
          <a:off x="6096000" y="4632960"/>
          <a:ext cx="678180" cy="21600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592380</xdr:colOff>
      <xdr:row>29</xdr:row>
      <xdr:rowOff>60960</xdr:rowOff>
    </xdr:from>
    <xdr:to>
      <xdr:col>11</xdr:col>
      <xdr:colOff>211380</xdr:colOff>
      <xdr:row>30</xdr:row>
      <xdr:rowOff>167640</xdr:rowOff>
    </xdr:to>
    <xdr:sp macro="" textlink="'pivot table'!G13">
      <xdr:nvSpPr>
        <xdr:cNvPr id="98" name="TextBox 97">
          <a:extLst>
            <a:ext uri="{FF2B5EF4-FFF2-40B4-BE49-F238E27FC236}">
              <a16:creationId xmlns:a16="http://schemas.microsoft.com/office/drawing/2014/main" id="{67B79391-681F-1EC7-D6FD-D1C85D1DF4C1}"/>
            </a:ext>
          </a:extLst>
        </xdr:cNvPr>
        <xdr:cNvSpPr txBox="1"/>
      </xdr:nvSpPr>
      <xdr:spPr>
        <a:xfrm>
          <a:off x="6078780" y="5372100"/>
          <a:ext cx="8382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3E252F1-2E97-48F5-8529-C35DB31A92EC}" type="TxLink">
            <a:rPr lang="en-US" sz="1100" b="0" i="0" u="none" strike="noStrike">
              <a:solidFill>
                <a:schemeClr val="bg1"/>
              </a:solidFill>
              <a:latin typeface="Aptos Narrow"/>
              <a:ea typeface="+mn-ea"/>
              <a:cs typeface="+mn-cs"/>
            </a:rPr>
            <a:pPr marL="0" indent="0"/>
            <a:t> 6,13,842 </a:t>
          </a:fld>
          <a:endParaRPr lang="en-IN" sz="1200">
            <a:solidFill>
              <a:schemeClr val="bg1"/>
            </a:solidFill>
            <a:latin typeface="+mn-lt"/>
            <a:ea typeface="+mn-ea"/>
            <a:cs typeface="+mn-cs"/>
          </a:endParaRPr>
        </a:p>
      </xdr:txBody>
    </xdr:sp>
    <xdr:clientData/>
  </xdr:twoCellAnchor>
  <xdr:twoCellAnchor>
    <xdr:from>
      <xdr:col>10</xdr:col>
      <xdr:colOff>0</xdr:colOff>
      <xdr:row>24</xdr:row>
      <xdr:rowOff>0</xdr:rowOff>
    </xdr:from>
    <xdr:to>
      <xdr:col>12</xdr:col>
      <xdr:colOff>0</xdr:colOff>
      <xdr:row>25</xdr:row>
      <xdr:rowOff>91440</xdr:rowOff>
    </xdr:to>
    <xdr:sp macro="" textlink="'pivot table'!G17">
      <xdr:nvSpPr>
        <xdr:cNvPr id="94" name="TextBox 93">
          <a:extLst>
            <a:ext uri="{FF2B5EF4-FFF2-40B4-BE49-F238E27FC236}">
              <a16:creationId xmlns:a16="http://schemas.microsoft.com/office/drawing/2014/main" id="{9EF10A9D-F760-EB3F-4E0E-994D8C6D65CD}"/>
            </a:ext>
          </a:extLst>
        </xdr:cNvPr>
        <xdr:cNvSpPr txBox="1"/>
      </xdr:nvSpPr>
      <xdr:spPr>
        <a:xfrm>
          <a:off x="6096000" y="4396740"/>
          <a:ext cx="12192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C9710A9-B504-418D-B6B6-7F6E75835C05}" type="TxLink">
            <a:rPr lang="en-US" sz="1050" b="0" i="0" u="none" strike="noStrike">
              <a:solidFill>
                <a:schemeClr val="bg1"/>
              </a:solidFill>
              <a:latin typeface="Aptos Narrow"/>
              <a:ea typeface="+mn-ea"/>
              <a:cs typeface="+mn-cs"/>
            </a:rPr>
            <a:pPr marL="0" indent="0" algn="l"/>
            <a:t> 31,04,913 </a:t>
          </a:fld>
          <a:endParaRPr lang="en-IN" sz="1050">
            <a:solidFill>
              <a:schemeClr val="bg1"/>
            </a:solidFill>
            <a:latin typeface="+mn-lt"/>
            <a:ea typeface="+mn-ea"/>
            <a:cs typeface="+mn-cs"/>
          </a:endParaRPr>
        </a:p>
      </xdr:txBody>
    </xdr:sp>
    <xdr:clientData/>
  </xdr:twoCellAnchor>
  <xdr:twoCellAnchor>
    <xdr:from>
      <xdr:col>10</xdr:col>
      <xdr:colOff>0</xdr:colOff>
      <xdr:row>25</xdr:row>
      <xdr:rowOff>53340</xdr:rowOff>
    </xdr:from>
    <xdr:to>
      <xdr:col>12</xdr:col>
      <xdr:colOff>0</xdr:colOff>
      <xdr:row>26</xdr:row>
      <xdr:rowOff>144780</xdr:rowOff>
    </xdr:to>
    <xdr:sp macro="" textlink="'pivot table'!G16">
      <xdr:nvSpPr>
        <xdr:cNvPr id="95" name="TextBox 94">
          <a:extLst>
            <a:ext uri="{FF2B5EF4-FFF2-40B4-BE49-F238E27FC236}">
              <a16:creationId xmlns:a16="http://schemas.microsoft.com/office/drawing/2014/main" id="{19881890-2B86-76FA-840E-97A13FB040F8}"/>
            </a:ext>
          </a:extLst>
        </xdr:cNvPr>
        <xdr:cNvSpPr txBox="1"/>
      </xdr:nvSpPr>
      <xdr:spPr>
        <a:xfrm>
          <a:off x="6096000" y="4632960"/>
          <a:ext cx="12192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DBBC822-837E-4813-AC27-CFD4B0AAC6A6}" type="TxLink">
            <a:rPr lang="en-US" sz="1100" b="0" i="0" u="none" strike="noStrike">
              <a:solidFill>
                <a:schemeClr val="bg1"/>
              </a:solidFill>
              <a:latin typeface="Aptos Narrow"/>
              <a:ea typeface="+mn-ea"/>
              <a:cs typeface="+mn-cs"/>
            </a:rPr>
            <a:pPr marL="0" indent="0"/>
            <a:t> 7,31,170 </a:t>
          </a:fld>
          <a:endParaRPr lang="en-IN" sz="1200">
            <a:solidFill>
              <a:schemeClr val="bg1"/>
            </a:solidFill>
            <a:latin typeface="+mn-lt"/>
            <a:ea typeface="+mn-ea"/>
            <a:cs typeface="+mn-cs"/>
          </a:endParaRPr>
        </a:p>
      </xdr:txBody>
    </xdr:sp>
    <xdr:clientData/>
  </xdr:twoCellAnchor>
  <xdr:twoCellAnchor>
    <xdr:from>
      <xdr:col>9</xdr:col>
      <xdr:colOff>592380</xdr:colOff>
      <xdr:row>26</xdr:row>
      <xdr:rowOff>137160</xdr:rowOff>
    </xdr:from>
    <xdr:to>
      <xdr:col>11</xdr:col>
      <xdr:colOff>592380</xdr:colOff>
      <xdr:row>28</xdr:row>
      <xdr:rowOff>60960</xdr:rowOff>
    </xdr:to>
    <xdr:sp macro="" textlink="'pivot table'!G15">
      <xdr:nvSpPr>
        <xdr:cNvPr id="96" name="TextBox 95">
          <a:extLst>
            <a:ext uri="{FF2B5EF4-FFF2-40B4-BE49-F238E27FC236}">
              <a16:creationId xmlns:a16="http://schemas.microsoft.com/office/drawing/2014/main" id="{6C14908F-47C7-BBA4-6410-319C1AE265D5}"/>
            </a:ext>
          </a:extLst>
        </xdr:cNvPr>
        <xdr:cNvSpPr txBox="1"/>
      </xdr:nvSpPr>
      <xdr:spPr>
        <a:xfrm>
          <a:off x="6078780" y="4899660"/>
          <a:ext cx="12192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04A9A66-9F0F-4DA8-8A2C-A4AAE537ECE9}" type="TxLink">
            <a:rPr lang="en-US" sz="1100" b="0" i="0" u="none" strike="noStrike">
              <a:solidFill>
                <a:schemeClr val="bg1"/>
              </a:solidFill>
              <a:latin typeface="Aptos Narrow"/>
              <a:ea typeface="+mn-ea"/>
              <a:cs typeface="+mn-cs"/>
            </a:rPr>
            <a:pPr marL="0" indent="0"/>
            <a:t> 9,59,266 </a:t>
          </a:fld>
          <a:endParaRPr lang="en-IN" sz="1200">
            <a:solidFill>
              <a:schemeClr val="bg1"/>
            </a:solidFill>
            <a:latin typeface="+mn-lt"/>
            <a:ea typeface="+mn-ea"/>
            <a:cs typeface="+mn-cs"/>
          </a:endParaRPr>
        </a:p>
      </xdr:txBody>
    </xdr:sp>
    <xdr:clientData/>
  </xdr:twoCellAnchor>
  <xdr:twoCellAnchor>
    <xdr:from>
      <xdr:col>9</xdr:col>
      <xdr:colOff>592380</xdr:colOff>
      <xdr:row>27</xdr:row>
      <xdr:rowOff>167640</xdr:rowOff>
    </xdr:from>
    <xdr:to>
      <xdr:col>11</xdr:col>
      <xdr:colOff>592380</xdr:colOff>
      <xdr:row>29</xdr:row>
      <xdr:rowOff>76200</xdr:rowOff>
    </xdr:to>
    <xdr:sp macro="" textlink="'pivot table'!G14">
      <xdr:nvSpPr>
        <xdr:cNvPr id="97" name="TextBox 96">
          <a:extLst>
            <a:ext uri="{FF2B5EF4-FFF2-40B4-BE49-F238E27FC236}">
              <a16:creationId xmlns:a16="http://schemas.microsoft.com/office/drawing/2014/main" id="{EEB8936E-241E-E423-4BF2-FD5677C322F6}"/>
            </a:ext>
          </a:extLst>
        </xdr:cNvPr>
        <xdr:cNvSpPr txBox="1"/>
      </xdr:nvSpPr>
      <xdr:spPr>
        <a:xfrm>
          <a:off x="6078780" y="5113020"/>
          <a:ext cx="12192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3199707-2DE2-49D9-9151-EBB371FF39A9}" type="TxLink">
            <a:rPr lang="en-US" sz="1100" b="0" i="0" u="none" strike="noStrike" baseline="0">
              <a:solidFill>
                <a:schemeClr val="bg1"/>
              </a:solidFill>
              <a:latin typeface="Aptos Narrow"/>
              <a:ea typeface="+mn-ea"/>
              <a:cs typeface="+mn-cs"/>
            </a:rPr>
            <a:pPr marL="0" indent="0"/>
            <a:t> 6,33,594 </a:t>
          </a:fld>
          <a:endParaRPr lang="en-IN" sz="1200" baseline="0">
            <a:solidFill>
              <a:schemeClr val="bg1"/>
            </a:solidFill>
            <a:latin typeface="+mn-lt"/>
            <a:ea typeface="+mn-ea"/>
            <a:cs typeface="+mn-cs"/>
          </a:endParaRPr>
        </a:p>
      </xdr:txBody>
    </xdr:sp>
    <xdr:clientData/>
  </xdr:twoCellAnchor>
  <xdr:twoCellAnchor>
    <xdr:from>
      <xdr:col>9</xdr:col>
      <xdr:colOff>592380</xdr:colOff>
      <xdr:row>30</xdr:row>
      <xdr:rowOff>137160</xdr:rowOff>
    </xdr:from>
    <xdr:to>
      <xdr:col>11</xdr:col>
      <xdr:colOff>592380</xdr:colOff>
      <xdr:row>32</xdr:row>
      <xdr:rowOff>121920</xdr:rowOff>
    </xdr:to>
    <xdr:sp macro="" textlink="'pivot table'!G12">
      <xdr:nvSpPr>
        <xdr:cNvPr id="99" name="TextBox 98">
          <a:extLst>
            <a:ext uri="{FF2B5EF4-FFF2-40B4-BE49-F238E27FC236}">
              <a16:creationId xmlns:a16="http://schemas.microsoft.com/office/drawing/2014/main" id="{CB959FDA-E79E-66D5-D496-7BE2B02830CD}"/>
            </a:ext>
          </a:extLst>
        </xdr:cNvPr>
        <xdr:cNvSpPr txBox="1"/>
      </xdr:nvSpPr>
      <xdr:spPr>
        <a:xfrm>
          <a:off x="6078780" y="5631180"/>
          <a:ext cx="12192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F5AB441-5C40-45B1-ADA2-EA3F3A334B90}" type="TxLink">
            <a:rPr lang="en-US" sz="1100" b="0" i="0" u="none" strike="noStrike">
              <a:solidFill>
                <a:schemeClr val="bg1"/>
              </a:solidFill>
              <a:latin typeface="Aptos Narrow"/>
              <a:ea typeface="+mn-ea"/>
              <a:cs typeface="+mn-cs"/>
            </a:rPr>
            <a:pPr marL="0" indent="0"/>
            <a:t> 1,67,041 </a:t>
          </a:fld>
          <a:endParaRPr lang="en-IN" sz="1200">
            <a:solidFill>
              <a:schemeClr val="bg1"/>
            </a:solidFill>
            <a:latin typeface="+mn-lt"/>
            <a:ea typeface="+mn-ea"/>
            <a:cs typeface="+mn-cs"/>
          </a:endParaRPr>
        </a:p>
      </xdr:txBody>
    </xdr:sp>
    <xdr:clientData/>
  </xdr:twoCellAnchor>
  <xdr:twoCellAnchor>
    <xdr:from>
      <xdr:col>0</xdr:col>
      <xdr:colOff>0</xdr:colOff>
      <xdr:row>22</xdr:row>
      <xdr:rowOff>128501</xdr:rowOff>
    </xdr:from>
    <xdr:to>
      <xdr:col>3</xdr:col>
      <xdr:colOff>79200</xdr:colOff>
      <xdr:row>32</xdr:row>
      <xdr:rowOff>99700</xdr:rowOff>
    </xdr:to>
    <xdr:sp macro="" textlink="">
      <xdr:nvSpPr>
        <xdr:cNvPr id="3" name="Rectangle: Rounded Corners 2">
          <a:extLst>
            <a:ext uri="{FF2B5EF4-FFF2-40B4-BE49-F238E27FC236}">
              <a16:creationId xmlns:a16="http://schemas.microsoft.com/office/drawing/2014/main" id="{7CF98D43-4E1B-4D54-BE42-12B9AC7A8A69}"/>
            </a:ext>
          </a:extLst>
        </xdr:cNvPr>
        <xdr:cNvSpPr/>
      </xdr:nvSpPr>
      <xdr:spPr>
        <a:xfrm>
          <a:off x="0" y="4209118"/>
          <a:ext cx="1916546" cy="1822788"/>
        </a:xfrm>
        <a:prstGeom prst="roundRect">
          <a:avLst>
            <a:gd name="adj" fmla="val 693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6</xdr:row>
      <xdr:rowOff>0</xdr:rowOff>
    </xdr:from>
    <xdr:to>
      <xdr:col>3</xdr:col>
      <xdr:colOff>79200</xdr:colOff>
      <xdr:row>22</xdr:row>
      <xdr:rowOff>99701</xdr:rowOff>
    </xdr:to>
    <xdr:sp macro="" textlink="">
      <xdr:nvSpPr>
        <xdr:cNvPr id="4" name="Rectangle: Rounded Corners 3">
          <a:extLst>
            <a:ext uri="{FF2B5EF4-FFF2-40B4-BE49-F238E27FC236}">
              <a16:creationId xmlns:a16="http://schemas.microsoft.com/office/drawing/2014/main" id="{3116628B-3656-421F-A29D-8740D66AB48D}"/>
            </a:ext>
          </a:extLst>
        </xdr:cNvPr>
        <xdr:cNvSpPr/>
      </xdr:nvSpPr>
      <xdr:spPr>
        <a:xfrm>
          <a:off x="0" y="1110953"/>
          <a:ext cx="1916546" cy="3069365"/>
        </a:xfrm>
        <a:prstGeom prst="roundRect">
          <a:avLst>
            <a:gd name="adj" fmla="val 693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213644</xdr:colOff>
      <xdr:row>19</xdr:row>
      <xdr:rowOff>178038</xdr:rowOff>
    </xdr:from>
    <xdr:to>
      <xdr:col>7</xdr:col>
      <xdr:colOff>427290</xdr:colOff>
      <xdr:row>32</xdr:row>
      <xdr:rowOff>128187</xdr:rowOff>
    </xdr:to>
    <xdr:sp macro="" textlink="">
      <xdr:nvSpPr>
        <xdr:cNvPr id="5" name="Rectangle: Rounded Corners 4">
          <a:extLst>
            <a:ext uri="{FF2B5EF4-FFF2-40B4-BE49-F238E27FC236}">
              <a16:creationId xmlns:a16="http://schemas.microsoft.com/office/drawing/2014/main" id="{52C0C194-B77A-456B-9B6C-236691A88179}"/>
            </a:ext>
          </a:extLst>
        </xdr:cNvPr>
        <xdr:cNvSpPr/>
      </xdr:nvSpPr>
      <xdr:spPr>
        <a:xfrm>
          <a:off x="2050990" y="3703178"/>
          <a:ext cx="2663440" cy="2357215"/>
        </a:xfrm>
        <a:prstGeom prst="roundRect">
          <a:avLst>
            <a:gd name="adj" fmla="val 693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0</xdr:colOff>
      <xdr:row>6</xdr:row>
      <xdr:rowOff>1</xdr:rowOff>
    </xdr:from>
    <xdr:to>
      <xdr:col>12</xdr:col>
      <xdr:colOff>9600</xdr:colOff>
      <xdr:row>19</xdr:row>
      <xdr:rowOff>140100</xdr:rowOff>
    </xdr:to>
    <xdr:sp macro="" textlink="">
      <xdr:nvSpPr>
        <xdr:cNvPr id="7" name="Rectangle: Rounded Corners 6">
          <a:extLst>
            <a:ext uri="{FF2B5EF4-FFF2-40B4-BE49-F238E27FC236}">
              <a16:creationId xmlns:a16="http://schemas.microsoft.com/office/drawing/2014/main" id="{EF9A5E44-59DB-4D6D-AC53-C1C8185454DA}"/>
            </a:ext>
          </a:extLst>
        </xdr:cNvPr>
        <xdr:cNvSpPr/>
      </xdr:nvSpPr>
      <xdr:spPr>
        <a:xfrm>
          <a:off x="4899589" y="1110954"/>
          <a:ext cx="2459394" cy="2554286"/>
        </a:xfrm>
        <a:prstGeom prst="roundRect">
          <a:avLst>
            <a:gd name="adj" fmla="val 693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313344</xdr:colOff>
      <xdr:row>6</xdr:row>
      <xdr:rowOff>0</xdr:rowOff>
    </xdr:from>
    <xdr:to>
      <xdr:col>7</xdr:col>
      <xdr:colOff>491550</xdr:colOff>
      <xdr:row>13</xdr:row>
      <xdr:rowOff>85457</xdr:rowOff>
    </xdr:to>
    <xdr:sp macro="" textlink="">
      <xdr:nvSpPr>
        <xdr:cNvPr id="8" name="Rectangle: Rounded Corners 7">
          <a:extLst>
            <a:ext uri="{FF2B5EF4-FFF2-40B4-BE49-F238E27FC236}">
              <a16:creationId xmlns:a16="http://schemas.microsoft.com/office/drawing/2014/main" id="{5C97AF05-C773-4AA8-9C29-8A38F16E7E04}"/>
            </a:ext>
          </a:extLst>
        </xdr:cNvPr>
        <xdr:cNvSpPr/>
      </xdr:nvSpPr>
      <xdr:spPr>
        <a:xfrm>
          <a:off x="2150690" y="1110953"/>
          <a:ext cx="2628000" cy="1388691"/>
        </a:xfrm>
        <a:prstGeom prst="roundRect">
          <a:avLst>
            <a:gd name="adj" fmla="val 693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306224</xdr:colOff>
      <xdr:row>13</xdr:row>
      <xdr:rowOff>135309</xdr:rowOff>
    </xdr:from>
    <xdr:to>
      <xdr:col>5</xdr:col>
      <xdr:colOff>442183</xdr:colOff>
      <xdr:row>19</xdr:row>
      <xdr:rowOff>118029</xdr:rowOff>
    </xdr:to>
    <xdr:sp macro="" textlink="">
      <xdr:nvSpPr>
        <xdr:cNvPr id="9" name="Rectangle: Rounded Corners 8">
          <a:extLst>
            <a:ext uri="{FF2B5EF4-FFF2-40B4-BE49-F238E27FC236}">
              <a16:creationId xmlns:a16="http://schemas.microsoft.com/office/drawing/2014/main" id="{758B90A1-7F23-4DE3-89EB-37F9FC84848D}"/>
            </a:ext>
          </a:extLst>
        </xdr:cNvPr>
        <xdr:cNvSpPr/>
      </xdr:nvSpPr>
      <xdr:spPr>
        <a:xfrm>
          <a:off x="2143570" y="2549496"/>
          <a:ext cx="1360856" cy="1093673"/>
        </a:xfrm>
        <a:prstGeom prst="roundRect">
          <a:avLst>
            <a:gd name="adj" fmla="val 693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487680</xdr:colOff>
      <xdr:row>13</xdr:row>
      <xdr:rowOff>129540</xdr:rowOff>
    </xdr:from>
    <xdr:to>
      <xdr:col>7</xdr:col>
      <xdr:colOff>438480</xdr:colOff>
      <xdr:row>19</xdr:row>
      <xdr:rowOff>112260</xdr:rowOff>
    </xdr:to>
    <xdr:sp macro="" textlink="">
      <xdr:nvSpPr>
        <xdr:cNvPr id="10" name="Rectangle: Rounded Corners 9">
          <a:extLst>
            <a:ext uri="{FF2B5EF4-FFF2-40B4-BE49-F238E27FC236}">
              <a16:creationId xmlns:a16="http://schemas.microsoft.com/office/drawing/2014/main" id="{967C2EF4-0890-49AF-A486-6B6493D450B2}"/>
            </a:ext>
          </a:extLst>
        </xdr:cNvPr>
        <xdr:cNvSpPr/>
      </xdr:nvSpPr>
      <xdr:spPr>
        <a:xfrm>
          <a:off x="3535680" y="2514600"/>
          <a:ext cx="1170000" cy="1080000"/>
        </a:xfrm>
        <a:prstGeom prst="roundRect">
          <a:avLst>
            <a:gd name="adj" fmla="val 693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244813</xdr:colOff>
      <xdr:row>26</xdr:row>
      <xdr:rowOff>103761</xdr:rowOff>
    </xdr:from>
    <xdr:to>
      <xdr:col>14</xdr:col>
      <xdr:colOff>211588</xdr:colOff>
      <xdr:row>32</xdr:row>
      <xdr:rowOff>104421</xdr:rowOff>
    </xdr:to>
    <xdr:sp macro="" textlink="">
      <xdr:nvSpPr>
        <xdr:cNvPr id="11" name="Rectangle: Rounded Corners 10">
          <a:extLst>
            <a:ext uri="{FF2B5EF4-FFF2-40B4-BE49-F238E27FC236}">
              <a16:creationId xmlns:a16="http://schemas.microsoft.com/office/drawing/2014/main" id="{D60962CF-23BF-4A31-8189-C804D68AC97A}"/>
            </a:ext>
          </a:extLst>
        </xdr:cNvPr>
        <xdr:cNvSpPr/>
      </xdr:nvSpPr>
      <xdr:spPr>
        <a:xfrm>
          <a:off x="7540558" y="4959484"/>
          <a:ext cx="1182732" cy="1119341"/>
        </a:xfrm>
        <a:prstGeom prst="roundRect">
          <a:avLst>
            <a:gd name="adj" fmla="val 693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427425</xdr:colOff>
      <xdr:row>26</xdr:row>
      <xdr:rowOff>86577</xdr:rowOff>
    </xdr:from>
    <xdr:to>
      <xdr:col>16</xdr:col>
      <xdr:colOff>394200</xdr:colOff>
      <xdr:row>32</xdr:row>
      <xdr:rowOff>69297</xdr:rowOff>
    </xdr:to>
    <xdr:sp macro="" textlink="">
      <xdr:nvSpPr>
        <xdr:cNvPr id="12" name="Rectangle: Rounded Corners 11">
          <a:extLst>
            <a:ext uri="{FF2B5EF4-FFF2-40B4-BE49-F238E27FC236}">
              <a16:creationId xmlns:a16="http://schemas.microsoft.com/office/drawing/2014/main" id="{83A6862F-09C2-440B-8E65-590523BEAF5F}"/>
            </a:ext>
          </a:extLst>
        </xdr:cNvPr>
        <xdr:cNvSpPr/>
      </xdr:nvSpPr>
      <xdr:spPr>
        <a:xfrm>
          <a:off x="8939127" y="4942300"/>
          <a:ext cx="1182733" cy="1101401"/>
        </a:xfrm>
        <a:prstGeom prst="roundRect">
          <a:avLst>
            <a:gd name="adj" fmla="val 693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427425</xdr:colOff>
      <xdr:row>20</xdr:row>
      <xdr:rowOff>53340</xdr:rowOff>
    </xdr:from>
    <xdr:to>
      <xdr:col>16</xdr:col>
      <xdr:colOff>394200</xdr:colOff>
      <xdr:row>26</xdr:row>
      <xdr:rowOff>36060</xdr:rowOff>
    </xdr:to>
    <xdr:sp macro="" textlink="">
      <xdr:nvSpPr>
        <xdr:cNvPr id="13" name="Rectangle: Rounded Corners 12">
          <a:extLst>
            <a:ext uri="{FF2B5EF4-FFF2-40B4-BE49-F238E27FC236}">
              <a16:creationId xmlns:a16="http://schemas.microsoft.com/office/drawing/2014/main" id="{0E641FA4-962F-49BA-862D-4215449A38D9}"/>
            </a:ext>
          </a:extLst>
        </xdr:cNvPr>
        <xdr:cNvSpPr/>
      </xdr:nvSpPr>
      <xdr:spPr>
        <a:xfrm>
          <a:off x="8961825" y="3718560"/>
          <a:ext cx="1185975" cy="1080000"/>
        </a:xfrm>
        <a:prstGeom prst="roundRect">
          <a:avLst>
            <a:gd name="adj" fmla="val 693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198120</xdr:colOff>
      <xdr:row>9</xdr:row>
      <xdr:rowOff>152400</xdr:rowOff>
    </xdr:from>
    <xdr:to>
      <xdr:col>16</xdr:col>
      <xdr:colOff>495720</xdr:colOff>
      <xdr:row>19</xdr:row>
      <xdr:rowOff>38100</xdr:rowOff>
    </xdr:to>
    <xdr:sp macro="" textlink="">
      <xdr:nvSpPr>
        <xdr:cNvPr id="14" name="Rectangle: Rounded Corners 13">
          <a:extLst>
            <a:ext uri="{FF2B5EF4-FFF2-40B4-BE49-F238E27FC236}">
              <a16:creationId xmlns:a16="http://schemas.microsoft.com/office/drawing/2014/main" id="{B4A07A62-9148-4FF4-88A3-0D20499AA772}"/>
            </a:ext>
          </a:extLst>
        </xdr:cNvPr>
        <xdr:cNvSpPr/>
      </xdr:nvSpPr>
      <xdr:spPr>
        <a:xfrm>
          <a:off x="7513320" y="1805940"/>
          <a:ext cx="2736000" cy="1714500"/>
        </a:xfrm>
        <a:prstGeom prst="roundRect">
          <a:avLst>
            <a:gd name="adj" fmla="val 693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190500</xdr:colOff>
      <xdr:row>3</xdr:row>
      <xdr:rowOff>83820</xdr:rowOff>
    </xdr:from>
    <xdr:to>
      <xdr:col>16</xdr:col>
      <xdr:colOff>457200</xdr:colOff>
      <xdr:row>9</xdr:row>
      <xdr:rowOff>7620</xdr:rowOff>
    </xdr:to>
    <xdr:sp macro="" textlink="">
      <xdr:nvSpPr>
        <xdr:cNvPr id="15" name="Rectangle: Rounded Corners 14">
          <a:extLst>
            <a:ext uri="{FF2B5EF4-FFF2-40B4-BE49-F238E27FC236}">
              <a16:creationId xmlns:a16="http://schemas.microsoft.com/office/drawing/2014/main" id="{95C26009-3FFC-48BE-A889-385918A2B2BA}"/>
            </a:ext>
          </a:extLst>
        </xdr:cNvPr>
        <xdr:cNvSpPr/>
      </xdr:nvSpPr>
      <xdr:spPr>
        <a:xfrm>
          <a:off x="7539883" y="639297"/>
          <a:ext cx="2716495" cy="1041874"/>
        </a:xfrm>
        <a:prstGeom prst="roundRect">
          <a:avLst>
            <a:gd name="adj" fmla="val 693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411480</xdr:colOff>
      <xdr:row>27</xdr:row>
      <xdr:rowOff>0</xdr:rowOff>
    </xdr:from>
    <xdr:to>
      <xdr:col>16</xdr:col>
      <xdr:colOff>0</xdr:colOff>
      <xdr:row>30</xdr:row>
      <xdr:rowOff>106680</xdr:rowOff>
    </xdr:to>
    <xdr:sp macro="" textlink="'[1]pivot table'!B12">
      <xdr:nvSpPr>
        <xdr:cNvPr id="18" name="TextBox 17">
          <a:extLst>
            <a:ext uri="{FF2B5EF4-FFF2-40B4-BE49-F238E27FC236}">
              <a16:creationId xmlns:a16="http://schemas.microsoft.com/office/drawing/2014/main" id="{92680679-A9A6-4C54-B85B-0683BC547E61}"/>
            </a:ext>
          </a:extLst>
        </xdr:cNvPr>
        <xdr:cNvSpPr txBox="1"/>
      </xdr:nvSpPr>
      <xdr:spPr>
        <a:xfrm>
          <a:off x="8945880" y="4945380"/>
          <a:ext cx="807720" cy="65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bg1"/>
              </a:solidFill>
            </a:rPr>
            <a:t>full</a:t>
          </a:r>
        </a:p>
        <a:p>
          <a:r>
            <a:rPr lang="en-IN" sz="1200" b="0">
              <a:solidFill>
                <a:schemeClr val="bg1"/>
              </a:solidFill>
            </a:rPr>
            <a:t>time </a:t>
          </a:r>
        </a:p>
        <a:p>
          <a:r>
            <a:rPr lang="en-IN" sz="1200" b="0">
              <a:solidFill>
                <a:schemeClr val="bg1"/>
              </a:solidFill>
            </a:rPr>
            <a:t>employees</a:t>
          </a:r>
        </a:p>
      </xdr:txBody>
    </xdr:sp>
    <xdr:clientData/>
  </xdr:twoCellAnchor>
  <xdr:twoCellAnchor>
    <xdr:from>
      <xdr:col>12</xdr:col>
      <xdr:colOff>190500</xdr:colOff>
      <xdr:row>26</xdr:row>
      <xdr:rowOff>152400</xdr:rowOff>
    </xdr:from>
    <xdr:to>
      <xdr:col>14</xdr:col>
      <xdr:colOff>0</xdr:colOff>
      <xdr:row>30</xdr:row>
      <xdr:rowOff>76200</xdr:rowOff>
    </xdr:to>
    <xdr:sp macro="" textlink="'[1]pivot table'!B12">
      <xdr:nvSpPr>
        <xdr:cNvPr id="20" name="TextBox 19">
          <a:extLst>
            <a:ext uri="{FF2B5EF4-FFF2-40B4-BE49-F238E27FC236}">
              <a16:creationId xmlns:a16="http://schemas.microsoft.com/office/drawing/2014/main" id="{D1967420-7437-4D03-A070-D060E529CB6B}"/>
            </a:ext>
          </a:extLst>
        </xdr:cNvPr>
        <xdr:cNvSpPr txBox="1"/>
      </xdr:nvSpPr>
      <xdr:spPr>
        <a:xfrm>
          <a:off x="7505700" y="4914900"/>
          <a:ext cx="1028700" cy="65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bg1"/>
              </a:solidFill>
            </a:rPr>
            <a:t>employees</a:t>
          </a:r>
        </a:p>
        <a:p>
          <a:r>
            <a:rPr lang="en-IN" sz="1200" b="0">
              <a:solidFill>
                <a:schemeClr val="bg1"/>
              </a:solidFill>
            </a:rPr>
            <a:t>with </a:t>
          </a:r>
        </a:p>
        <a:p>
          <a:r>
            <a:rPr lang="en-IN" sz="1200" b="0">
              <a:solidFill>
                <a:schemeClr val="bg1"/>
              </a:solidFill>
            </a:rPr>
            <a:t>contract</a:t>
          </a:r>
        </a:p>
      </xdr:txBody>
    </xdr:sp>
    <xdr:clientData/>
  </xdr:twoCellAnchor>
  <xdr:twoCellAnchor>
    <xdr:from>
      <xdr:col>15</xdr:col>
      <xdr:colOff>411480</xdr:colOff>
      <xdr:row>23</xdr:row>
      <xdr:rowOff>106680</xdr:rowOff>
    </xdr:from>
    <xdr:to>
      <xdr:col>16</xdr:col>
      <xdr:colOff>533400</xdr:colOff>
      <xdr:row>26</xdr:row>
      <xdr:rowOff>137160</xdr:rowOff>
    </xdr:to>
    <xdr:sp macro="" textlink="'pivot table'!B12">
      <xdr:nvSpPr>
        <xdr:cNvPr id="23" name="TextBox 22">
          <a:extLst>
            <a:ext uri="{FF2B5EF4-FFF2-40B4-BE49-F238E27FC236}">
              <a16:creationId xmlns:a16="http://schemas.microsoft.com/office/drawing/2014/main" id="{6F8639EA-DF97-D147-B0D4-F06E4C207564}"/>
            </a:ext>
          </a:extLst>
        </xdr:cNvPr>
        <xdr:cNvSpPr txBox="1"/>
      </xdr:nvSpPr>
      <xdr:spPr>
        <a:xfrm>
          <a:off x="9555480" y="4320540"/>
          <a:ext cx="73152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EE1C71-4A67-4C11-9F85-8CBD149A5D0A}" type="TxLink">
            <a:rPr lang="en-US" sz="2400" b="1" i="0" u="none" strike="noStrike">
              <a:solidFill>
                <a:schemeClr val="bg1"/>
              </a:solidFill>
              <a:latin typeface="Franklin Gothic Medium" panose="020B0603020102020204" pitchFamily="34" charset="0"/>
            </a:rPr>
            <a:pPr/>
            <a:t>13</a:t>
          </a:fld>
          <a:endParaRPr lang="en-IN" sz="2400" b="1">
            <a:solidFill>
              <a:schemeClr val="bg1"/>
            </a:solidFill>
            <a:latin typeface="Franklin Gothic Medium" panose="020B0603020102020204" pitchFamily="34" charset="0"/>
          </a:endParaRPr>
        </a:p>
      </xdr:txBody>
    </xdr:sp>
    <xdr:clientData/>
  </xdr:twoCellAnchor>
  <xdr:twoCellAnchor>
    <xdr:from>
      <xdr:col>13</xdr:col>
      <xdr:colOff>182880</xdr:colOff>
      <xdr:row>29</xdr:row>
      <xdr:rowOff>175260</xdr:rowOff>
    </xdr:from>
    <xdr:to>
      <xdr:col>14</xdr:col>
      <xdr:colOff>312420</xdr:colOff>
      <xdr:row>32</xdr:row>
      <xdr:rowOff>160020</xdr:rowOff>
    </xdr:to>
    <xdr:sp macro="" textlink="'pivot table'!B10">
      <xdr:nvSpPr>
        <xdr:cNvPr id="24" name="TextBox 23">
          <a:extLst>
            <a:ext uri="{FF2B5EF4-FFF2-40B4-BE49-F238E27FC236}">
              <a16:creationId xmlns:a16="http://schemas.microsoft.com/office/drawing/2014/main" id="{E8454381-9888-4520-AED8-C1DF2B8922CB}"/>
            </a:ext>
          </a:extLst>
        </xdr:cNvPr>
        <xdr:cNvSpPr txBox="1"/>
      </xdr:nvSpPr>
      <xdr:spPr>
        <a:xfrm>
          <a:off x="8107680" y="5486400"/>
          <a:ext cx="73914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6F4CD83-2EB8-4132-AD74-F9CED6424290}" type="TxLink">
            <a:rPr lang="en-US" sz="2400" b="1" i="0" u="none" strike="noStrike">
              <a:solidFill>
                <a:schemeClr val="bg1"/>
              </a:solidFill>
              <a:latin typeface="Franklin Gothic Medium" panose="020B0603020102020204" pitchFamily="34" charset="0"/>
              <a:ea typeface="+mn-ea"/>
              <a:cs typeface="+mn-cs"/>
            </a:rPr>
            <a:pPr marL="0" indent="0"/>
            <a:t>17</a:t>
          </a:fld>
          <a:endParaRPr lang="en-IN" sz="2400" b="1" i="0" u="none" strike="noStrike">
            <a:solidFill>
              <a:schemeClr val="bg1"/>
            </a:solidFill>
            <a:latin typeface="Franklin Gothic Medium" panose="020B0603020102020204" pitchFamily="34" charset="0"/>
            <a:ea typeface="+mn-ea"/>
            <a:cs typeface="+mn-cs"/>
          </a:endParaRPr>
        </a:p>
      </xdr:txBody>
    </xdr:sp>
    <xdr:clientData/>
  </xdr:twoCellAnchor>
  <xdr:twoCellAnchor>
    <xdr:from>
      <xdr:col>15</xdr:col>
      <xdr:colOff>472440</xdr:colOff>
      <xdr:row>29</xdr:row>
      <xdr:rowOff>167640</xdr:rowOff>
    </xdr:from>
    <xdr:to>
      <xdr:col>16</xdr:col>
      <xdr:colOff>594360</xdr:colOff>
      <xdr:row>33</xdr:row>
      <xdr:rowOff>15240</xdr:rowOff>
    </xdr:to>
    <xdr:sp macro="" textlink="'pivot table'!B11">
      <xdr:nvSpPr>
        <xdr:cNvPr id="26" name="TextBox 25">
          <a:extLst>
            <a:ext uri="{FF2B5EF4-FFF2-40B4-BE49-F238E27FC236}">
              <a16:creationId xmlns:a16="http://schemas.microsoft.com/office/drawing/2014/main" id="{99363A9F-B8D5-4863-A5C2-8019C5BB4673}"/>
            </a:ext>
          </a:extLst>
        </xdr:cNvPr>
        <xdr:cNvSpPr txBox="1"/>
      </xdr:nvSpPr>
      <xdr:spPr>
        <a:xfrm>
          <a:off x="9616440" y="5478780"/>
          <a:ext cx="73152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D9AA2F7-F9D9-4889-B053-2F2856E5ED90}" type="TxLink">
            <a:rPr lang="en-US" sz="2400" b="1" i="0" u="none" strike="noStrike">
              <a:solidFill>
                <a:schemeClr val="bg1"/>
              </a:solidFill>
              <a:latin typeface="Franklin Gothic Medium" panose="020B0603020102020204" pitchFamily="34" charset="0"/>
              <a:ea typeface="+mn-ea"/>
              <a:cs typeface="+mn-cs"/>
            </a:rPr>
            <a:pPr marL="0" indent="0"/>
            <a:t>20</a:t>
          </a:fld>
          <a:endParaRPr lang="en-IN" sz="2400" b="1" i="0" u="none" strike="noStrike">
            <a:solidFill>
              <a:schemeClr val="bg1"/>
            </a:solidFill>
            <a:latin typeface="Franklin Gothic Medium" panose="020B0603020102020204" pitchFamily="34" charset="0"/>
            <a:ea typeface="+mn-ea"/>
            <a:cs typeface="+mn-cs"/>
          </a:endParaRPr>
        </a:p>
      </xdr:txBody>
    </xdr:sp>
    <xdr:clientData/>
  </xdr:twoCellAnchor>
  <xdr:twoCellAnchor>
    <xdr:from>
      <xdr:col>14</xdr:col>
      <xdr:colOff>373380</xdr:colOff>
      <xdr:row>20</xdr:row>
      <xdr:rowOff>121920</xdr:rowOff>
    </xdr:from>
    <xdr:to>
      <xdr:col>16</xdr:col>
      <xdr:colOff>0</xdr:colOff>
      <xdr:row>25</xdr:row>
      <xdr:rowOff>0</xdr:rowOff>
    </xdr:to>
    <xdr:sp macro="" textlink="">
      <xdr:nvSpPr>
        <xdr:cNvPr id="16" name="TextBox 15">
          <a:extLst>
            <a:ext uri="{FF2B5EF4-FFF2-40B4-BE49-F238E27FC236}">
              <a16:creationId xmlns:a16="http://schemas.microsoft.com/office/drawing/2014/main" id="{F331BBE9-57F1-40D7-9463-8E6B7C8891C9}"/>
            </a:ext>
          </a:extLst>
        </xdr:cNvPr>
        <xdr:cNvSpPr txBox="1"/>
      </xdr:nvSpPr>
      <xdr:spPr>
        <a:xfrm>
          <a:off x="8907780" y="3787140"/>
          <a:ext cx="845820" cy="79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chemeClr val="bg1"/>
              </a:solidFill>
              <a:latin typeface="+mn-lt"/>
              <a:ea typeface="+mn-ea"/>
              <a:cs typeface="+mn-cs"/>
            </a:rPr>
            <a:t>Part </a:t>
          </a:r>
        </a:p>
        <a:p>
          <a:pPr marL="0" indent="0"/>
          <a:r>
            <a:rPr lang="en-IN" sz="1200">
              <a:solidFill>
                <a:schemeClr val="bg1"/>
              </a:solidFill>
              <a:latin typeface="+mn-lt"/>
              <a:ea typeface="+mn-ea"/>
              <a:cs typeface="+mn-cs"/>
            </a:rPr>
            <a:t>time</a:t>
          </a:r>
        </a:p>
        <a:p>
          <a:pPr marL="0" indent="0"/>
          <a:r>
            <a:rPr lang="en-IN" sz="1200">
              <a:solidFill>
                <a:schemeClr val="bg1"/>
              </a:solidFill>
              <a:latin typeface="+mn-lt"/>
              <a:ea typeface="+mn-ea"/>
              <a:cs typeface="+mn-cs"/>
            </a:rPr>
            <a:t>empoyees</a:t>
          </a:r>
        </a:p>
      </xdr:txBody>
    </xdr:sp>
    <xdr:clientData/>
  </xdr:twoCellAnchor>
  <xdr:twoCellAnchor>
    <xdr:from>
      <xdr:col>10</xdr:col>
      <xdr:colOff>68580</xdr:colOff>
      <xdr:row>31</xdr:row>
      <xdr:rowOff>0</xdr:rowOff>
    </xdr:from>
    <xdr:to>
      <xdr:col>11</xdr:col>
      <xdr:colOff>538980</xdr:colOff>
      <xdr:row>32</xdr:row>
      <xdr:rowOff>69120</xdr:rowOff>
    </xdr:to>
    <xdr:sp macro="" textlink="">
      <xdr:nvSpPr>
        <xdr:cNvPr id="61" name="Rectangle: Rounded Corners 60">
          <a:extLst>
            <a:ext uri="{FF2B5EF4-FFF2-40B4-BE49-F238E27FC236}">
              <a16:creationId xmlns:a16="http://schemas.microsoft.com/office/drawing/2014/main" id="{2A96AC45-01DF-4CCD-8967-45697DD8BD1C}"/>
            </a:ext>
          </a:extLst>
        </xdr:cNvPr>
        <xdr:cNvSpPr/>
      </xdr:nvSpPr>
      <xdr:spPr>
        <a:xfrm>
          <a:off x="6164580" y="5676900"/>
          <a:ext cx="1080000" cy="252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220980</xdr:colOff>
      <xdr:row>31</xdr:row>
      <xdr:rowOff>152400</xdr:rowOff>
    </xdr:from>
    <xdr:to>
      <xdr:col>12</xdr:col>
      <xdr:colOff>81780</xdr:colOff>
      <xdr:row>33</xdr:row>
      <xdr:rowOff>38640</xdr:rowOff>
    </xdr:to>
    <xdr:sp macro="" textlink="">
      <xdr:nvSpPr>
        <xdr:cNvPr id="62" name="Rectangle: Rounded Corners 61">
          <a:extLst>
            <a:ext uri="{FF2B5EF4-FFF2-40B4-BE49-F238E27FC236}">
              <a16:creationId xmlns:a16="http://schemas.microsoft.com/office/drawing/2014/main" id="{30426A62-CF08-4D72-97AA-50DDFA8BFE39}"/>
            </a:ext>
          </a:extLst>
        </xdr:cNvPr>
        <xdr:cNvSpPr/>
      </xdr:nvSpPr>
      <xdr:spPr>
        <a:xfrm>
          <a:off x="6316980" y="5829300"/>
          <a:ext cx="1080000" cy="252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139200</xdr:colOff>
      <xdr:row>31</xdr:row>
      <xdr:rowOff>0</xdr:rowOff>
    </xdr:from>
    <xdr:to>
      <xdr:col>12</xdr:col>
      <xdr:colOff>0</xdr:colOff>
      <xdr:row>32</xdr:row>
      <xdr:rowOff>69120</xdr:rowOff>
    </xdr:to>
    <xdr:sp macro="" textlink="">
      <xdr:nvSpPr>
        <xdr:cNvPr id="63" name="Rectangle: Rounded Corners 62">
          <a:extLst>
            <a:ext uri="{FF2B5EF4-FFF2-40B4-BE49-F238E27FC236}">
              <a16:creationId xmlns:a16="http://schemas.microsoft.com/office/drawing/2014/main" id="{95325075-E223-4AAE-9D77-882AA7C73695}"/>
            </a:ext>
          </a:extLst>
        </xdr:cNvPr>
        <xdr:cNvSpPr/>
      </xdr:nvSpPr>
      <xdr:spPr>
        <a:xfrm>
          <a:off x="6235200" y="5676900"/>
          <a:ext cx="1080000" cy="252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525780</xdr:colOff>
      <xdr:row>33</xdr:row>
      <xdr:rowOff>91440</xdr:rowOff>
    </xdr:from>
    <xdr:to>
      <xdr:col>12</xdr:col>
      <xdr:colOff>386580</xdr:colOff>
      <xdr:row>34</xdr:row>
      <xdr:rowOff>160560</xdr:rowOff>
    </xdr:to>
    <xdr:sp macro="" textlink="">
      <xdr:nvSpPr>
        <xdr:cNvPr id="64" name="Rectangle: Rounded Corners 63">
          <a:extLst>
            <a:ext uri="{FF2B5EF4-FFF2-40B4-BE49-F238E27FC236}">
              <a16:creationId xmlns:a16="http://schemas.microsoft.com/office/drawing/2014/main" id="{9346EF1F-342A-4EBB-B0F2-080BE295F5E8}"/>
            </a:ext>
          </a:extLst>
        </xdr:cNvPr>
        <xdr:cNvSpPr/>
      </xdr:nvSpPr>
      <xdr:spPr>
        <a:xfrm>
          <a:off x="6621780" y="6134100"/>
          <a:ext cx="1080000" cy="252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316230</xdr:colOff>
      <xdr:row>30</xdr:row>
      <xdr:rowOff>0</xdr:rowOff>
    </xdr:from>
    <xdr:to>
      <xdr:col>12</xdr:col>
      <xdr:colOff>177030</xdr:colOff>
      <xdr:row>31</xdr:row>
      <xdr:rowOff>69120</xdr:rowOff>
    </xdr:to>
    <xdr:sp macro="" textlink="">
      <xdr:nvSpPr>
        <xdr:cNvPr id="65" name="Rectangle: Rounded Corners 64">
          <a:extLst>
            <a:ext uri="{FF2B5EF4-FFF2-40B4-BE49-F238E27FC236}">
              <a16:creationId xmlns:a16="http://schemas.microsoft.com/office/drawing/2014/main" id="{C36305F5-4E44-4EA3-85A9-FE3BF0720244}"/>
            </a:ext>
          </a:extLst>
        </xdr:cNvPr>
        <xdr:cNvSpPr/>
      </xdr:nvSpPr>
      <xdr:spPr>
        <a:xfrm>
          <a:off x="6412230" y="5494020"/>
          <a:ext cx="1080000" cy="252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209037</xdr:colOff>
      <xdr:row>28</xdr:row>
      <xdr:rowOff>104067</xdr:rowOff>
    </xdr:from>
    <xdr:to>
      <xdr:col>12</xdr:col>
      <xdr:colOff>69837</xdr:colOff>
      <xdr:row>29</xdr:row>
      <xdr:rowOff>173187</xdr:rowOff>
    </xdr:to>
    <xdr:sp macro="" textlink="">
      <xdr:nvSpPr>
        <xdr:cNvPr id="66" name="Rectangle: Rounded Corners 65">
          <a:extLst>
            <a:ext uri="{FF2B5EF4-FFF2-40B4-BE49-F238E27FC236}">
              <a16:creationId xmlns:a16="http://schemas.microsoft.com/office/drawing/2014/main" id="{28D8AFA9-5C63-4703-A2DE-14393682BAB8}"/>
            </a:ext>
          </a:extLst>
        </xdr:cNvPr>
        <xdr:cNvSpPr/>
      </xdr:nvSpPr>
      <xdr:spPr>
        <a:xfrm>
          <a:off x="6305037" y="5232327"/>
          <a:ext cx="1080000" cy="252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62352</xdr:colOff>
      <xdr:row>27</xdr:row>
      <xdr:rowOff>15022</xdr:rowOff>
    </xdr:from>
    <xdr:to>
      <xdr:col>11</xdr:col>
      <xdr:colOff>532752</xdr:colOff>
      <xdr:row>28</xdr:row>
      <xdr:rowOff>84142</xdr:rowOff>
    </xdr:to>
    <xdr:sp macro="" textlink="">
      <xdr:nvSpPr>
        <xdr:cNvPr id="67" name="Rectangle: Rounded Corners 66">
          <a:extLst>
            <a:ext uri="{FF2B5EF4-FFF2-40B4-BE49-F238E27FC236}">
              <a16:creationId xmlns:a16="http://schemas.microsoft.com/office/drawing/2014/main" id="{AA916840-76DC-413A-9D78-CAEC1488B60E}"/>
            </a:ext>
          </a:extLst>
        </xdr:cNvPr>
        <xdr:cNvSpPr/>
      </xdr:nvSpPr>
      <xdr:spPr>
        <a:xfrm>
          <a:off x="6158352" y="4960402"/>
          <a:ext cx="1080000" cy="252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335280</xdr:colOff>
      <xdr:row>26</xdr:row>
      <xdr:rowOff>0</xdr:rowOff>
    </xdr:from>
    <xdr:to>
      <xdr:col>11</xdr:col>
      <xdr:colOff>196080</xdr:colOff>
      <xdr:row>27</xdr:row>
      <xdr:rowOff>69120</xdr:rowOff>
    </xdr:to>
    <xdr:sp macro="" textlink="">
      <xdr:nvSpPr>
        <xdr:cNvPr id="68" name="Rectangle: Rounded Corners 67">
          <a:extLst>
            <a:ext uri="{FF2B5EF4-FFF2-40B4-BE49-F238E27FC236}">
              <a16:creationId xmlns:a16="http://schemas.microsoft.com/office/drawing/2014/main" id="{B5F1A422-4848-484D-999E-EC50F127199E}"/>
            </a:ext>
          </a:extLst>
        </xdr:cNvPr>
        <xdr:cNvSpPr/>
      </xdr:nvSpPr>
      <xdr:spPr>
        <a:xfrm>
          <a:off x="5821680" y="4762500"/>
          <a:ext cx="1080000" cy="252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434340</xdr:colOff>
      <xdr:row>24</xdr:row>
      <xdr:rowOff>142386</xdr:rowOff>
    </xdr:from>
    <xdr:to>
      <xdr:col>11</xdr:col>
      <xdr:colOff>295140</xdr:colOff>
      <xdr:row>26</xdr:row>
      <xdr:rowOff>28626</xdr:rowOff>
    </xdr:to>
    <xdr:sp macro="" textlink="">
      <xdr:nvSpPr>
        <xdr:cNvPr id="69" name="Rectangle: Rounded Corners 68">
          <a:extLst>
            <a:ext uri="{FF2B5EF4-FFF2-40B4-BE49-F238E27FC236}">
              <a16:creationId xmlns:a16="http://schemas.microsoft.com/office/drawing/2014/main" id="{2C86F4FD-3FA8-4925-AB48-840E106F720E}"/>
            </a:ext>
          </a:extLst>
        </xdr:cNvPr>
        <xdr:cNvSpPr/>
      </xdr:nvSpPr>
      <xdr:spPr>
        <a:xfrm>
          <a:off x="5920740" y="4539126"/>
          <a:ext cx="1080000" cy="252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0</xdr:colOff>
      <xdr:row>24</xdr:row>
      <xdr:rowOff>22860</xdr:rowOff>
    </xdr:from>
    <xdr:to>
      <xdr:col>10</xdr:col>
      <xdr:colOff>0</xdr:colOff>
      <xdr:row>25</xdr:row>
      <xdr:rowOff>114300</xdr:rowOff>
    </xdr:to>
    <xdr:sp macro="" textlink="">
      <xdr:nvSpPr>
        <xdr:cNvPr id="87" name="TextBox 86">
          <a:extLst>
            <a:ext uri="{FF2B5EF4-FFF2-40B4-BE49-F238E27FC236}">
              <a16:creationId xmlns:a16="http://schemas.microsoft.com/office/drawing/2014/main" id="{E6C146A9-5612-4622-B327-3193D4BE54C3}"/>
            </a:ext>
          </a:extLst>
        </xdr:cNvPr>
        <xdr:cNvSpPr txBox="1"/>
      </xdr:nvSpPr>
      <xdr:spPr>
        <a:xfrm>
          <a:off x="4876800" y="4419600"/>
          <a:ext cx="12192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chemeClr val="bg1"/>
              </a:solidFill>
              <a:latin typeface="+mn-lt"/>
              <a:ea typeface="+mn-ea"/>
              <a:cs typeface="+mn-cs"/>
            </a:rPr>
            <a:t>Total</a:t>
          </a:r>
          <a:r>
            <a:rPr lang="en-IN" sz="1200" baseline="0">
              <a:solidFill>
                <a:schemeClr val="bg1"/>
              </a:solidFill>
              <a:latin typeface="+mn-lt"/>
              <a:ea typeface="+mn-ea"/>
              <a:cs typeface="+mn-cs"/>
            </a:rPr>
            <a:t> salary</a:t>
          </a:r>
          <a:endParaRPr lang="en-IN" sz="1200">
            <a:solidFill>
              <a:schemeClr val="bg1"/>
            </a:solidFill>
            <a:latin typeface="+mn-lt"/>
            <a:ea typeface="+mn-ea"/>
            <a:cs typeface="+mn-cs"/>
          </a:endParaRPr>
        </a:p>
      </xdr:txBody>
    </xdr:sp>
    <xdr:clientData/>
  </xdr:twoCellAnchor>
  <xdr:twoCellAnchor>
    <xdr:from>
      <xdr:col>8</xdr:col>
      <xdr:colOff>0</xdr:colOff>
      <xdr:row>25</xdr:row>
      <xdr:rowOff>91440</xdr:rowOff>
    </xdr:from>
    <xdr:to>
      <xdr:col>10</xdr:col>
      <xdr:colOff>0</xdr:colOff>
      <xdr:row>27</xdr:row>
      <xdr:rowOff>0</xdr:rowOff>
    </xdr:to>
    <xdr:sp macro="" textlink="">
      <xdr:nvSpPr>
        <xdr:cNvPr id="88" name="TextBox 87">
          <a:extLst>
            <a:ext uri="{FF2B5EF4-FFF2-40B4-BE49-F238E27FC236}">
              <a16:creationId xmlns:a16="http://schemas.microsoft.com/office/drawing/2014/main" id="{780A135A-8A98-43F3-9802-447AA6290757}"/>
            </a:ext>
          </a:extLst>
        </xdr:cNvPr>
        <xdr:cNvSpPr txBox="1"/>
      </xdr:nvSpPr>
      <xdr:spPr>
        <a:xfrm>
          <a:off x="4876800" y="4671060"/>
          <a:ext cx="12192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chemeClr val="bg1"/>
              </a:solidFill>
              <a:latin typeface="+mn-lt"/>
              <a:ea typeface="+mn-ea"/>
              <a:cs typeface="+mn-cs"/>
            </a:rPr>
            <a:t>Manager</a:t>
          </a:r>
        </a:p>
      </xdr:txBody>
    </xdr:sp>
    <xdr:clientData/>
  </xdr:twoCellAnchor>
  <xdr:twoCellAnchor>
    <xdr:from>
      <xdr:col>8</xdr:col>
      <xdr:colOff>0</xdr:colOff>
      <xdr:row>26</xdr:row>
      <xdr:rowOff>152400</xdr:rowOff>
    </xdr:from>
    <xdr:to>
      <xdr:col>10</xdr:col>
      <xdr:colOff>0</xdr:colOff>
      <xdr:row>28</xdr:row>
      <xdr:rowOff>76200</xdr:rowOff>
    </xdr:to>
    <xdr:sp macro="" textlink="">
      <xdr:nvSpPr>
        <xdr:cNvPr id="89" name="TextBox 88">
          <a:extLst>
            <a:ext uri="{FF2B5EF4-FFF2-40B4-BE49-F238E27FC236}">
              <a16:creationId xmlns:a16="http://schemas.microsoft.com/office/drawing/2014/main" id="{EF1B5C74-48DD-44C8-8BD7-F073CA0BC13A}"/>
            </a:ext>
          </a:extLst>
        </xdr:cNvPr>
        <xdr:cNvSpPr txBox="1"/>
      </xdr:nvSpPr>
      <xdr:spPr>
        <a:xfrm>
          <a:off x="4876800" y="4914900"/>
          <a:ext cx="12192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chemeClr val="bg1"/>
              </a:solidFill>
              <a:latin typeface="+mn-lt"/>
              <a:ea typeface="+mn-ea"/>
              <a:cs typeface="+mn-cs"/>
            </a:rPr>
            <a:t>HR</a:t>
          </a:r>
          <a:r>
            <a:rPr lang="en-IN" sz="1200" baseline="0">
              <a:solidFill>
                <a:schemeClr val="bg1"/>
              </a:solidFill>
              <a:latin typeface="+mn-lt"/>
              <a:ea typeface="+mn-ea"/>
              <a:cs typeface="+mn-cs"/>
            </a:rPr>
            <a:t> specialist</a:t>
          </a:r>
          <a:endParaRPr lang="en-IN" sz="1200">
            <a:solidFill>
              <a:schemeClr val="bg1"/>
            </a:solidFill>
            <a:latin typeface="+mn-lt"/>
            <a:ea typeface="+mn-ea"/>
            <a:cs typeface="+mn-cs"/>
          </a:endParaRPr>
        </a:p>
      </xdr:txBody>
    </xdr:sp>
    <xdr:clientData/>
  </xdr:twoCellAnchor>
  <xdr:twoCellAnchor>
    <xdr:from>
      <xdr:col>8</xdr:col>
      <xdr:colOff>0</xdr:colOff>
      <xdr:row>28</xdr:row>
      <xdr:rowOff>0</xdr:rowOff>
    </xdr:from>
    <xdr:to>
      <xdr:col>10</xdr:col>
      <xdr:colOff>0</xdr:colOff>
      <xdr:row>29</xdr:row>
      <xdr:rowOff>91440</xdr:rowOff>
    </xdr:to>
    <xdr:sp macro="" textlink="">
      <xdr:nvSpPr>
        <xdr:cNvPr id="90" name="TextBox 89">
          <a:extLst>
            <a:ext uri="{FF2B5EF4-FFF2-40B4-BE49-F238E27FC236}">
              <a16:creationId xmlns:a16="http://schemas.microsoft.com/office/drawing/2014/main" id="{7ED9F966-033B-4CA1-8B7D-4CDABE3EA186}"/>
            </a:ext>
          </a:extLst>
        </xdr:cNvPr>
        <xdr:cNvSpPr txBox="1"/>
      </xdr:nvSpPr>
      <xdr:spPr>
        <a:xfrm>
          <a:off x="4876800" y="5128260"/>
          <a:ext cx="12192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aseline="0">
              <a:solidFill>
                <a:schemeClr val="bg1"/>
              </a:solidFill>
              <a:latin typeface="+mn-lt"/>
              <a:ea typeface="+mn-ea"/>
              <a:cs typeface="+mn-cs"/>
            </a:rPr>
            <a:t>Developer</a:t>
          </a:r>
        </a:p>
      </xdr:txBody>
    </xdr:sp>
    <xdr:clientData/>
  </xdr:twoCellAnchor>
  <xdr:twoCellAnchor>
    <xdr:from>
      <xdr:col>8</xdr:col>
      <xdr:colOff>0</xdr:colOff>
      <xdr:row>29</xdr:row>
      <xdr:rowOff>76200</xdr:rowOff>
    </xdr:from>
    <xdr:to>
      <xdr:col>9</xdr:col>
      <xdr:colOff>228600</xdr:colOff>
      <xdr:row>31</xdr:row>
      <xdr:rowOff>0</xdr:rowOff>
    </xdr:to>
    <xdr:sp macro="" textlink="">
      <xdr:nvSpPr>
        <xdr:cNvPr id="91" name="TextBox 90">
          <a:extLst>
            <a:ext uri="{FF2B5EF4-FFF2-40B4-BE49-F238E27FC236}">
              <a16:creationId xmlns:a16="http://schemas.microsoft.com/office/drawing/2014/main" id="{82AB9E5C-D887-4A34-BE97-77BE056A3D05}"/>
            </a:ext>
          </a:extLst>
        </xdr:cNvPr>
        <xdr:cNvSpPr txBox="1"/>
      </xdr:nvSpPr>
      <xdr:spPr>
        <a:xfrm>
          <a:off x="4876800" y="5387340"/>
          <a:ext cx="8382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chemeClr val="bg1"/>
              </a:solidFill>
              <a:latin typeface="+mn-lt"/>
              <a:ea typeface="+mn-ea"/>
              <a:cs typeface="+mn-cs"/>
            </a:rPr>
            <a:t>Designer</a:t>
          </a:r>
        </a:p>
      </xdr:txBody>
    </xdr:sp>
    <xdr:clientData/>
  </xdr:twoCellAnchor>
  <xdr:twoCellAnchor>
    <xdr:from>
      <xdr:col>8</xdr:col>
      <xdr:colOff>0</xdr:colOff>
      <xdr:row>30</xdr:row>
      <xdr:rowOff>152400</xdr:rowOff>
    </xdr:from>
    <xdr:to>
      <xdr:col>10</xdr:col>
      <xdr:colOff>0</xdr:colOff>
      <xdr:row>32</xdr:row>
      <xdr:rowOff>137160</xdr:rowOff>
    </xdr:to>
    <xdr:sp macro="" textlink="">
      <xdr:nvSpPr>
        <xdr:cNvPr id="92" name="TextBox 91">
          <a:extLst>
            <a:ext uri="{FF2B5EF4-FFF2-40B4-BE49-F238E27FC236}">
              <a16:creationId xmlns:a16="http://schemas.microsoft.com/office/drawing/2014/main" id="{66E642A5-0F82-4D56-9C63-35674A0A189F}"/>
            </a:ext>
          </a:extLst>
        </xdr:cNvPr>
        <xdr:cNvSpPr txBox="1"/>
      </xdr:nvSpPr>
      <xdr:spPr>
        <a:xfrm>
          <a:off x="4876800" y="5646420"/>
          <a:ext cx="12192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chemeClr val="bg1"/>
              </a:solidFill>
              <a:latin typeface="+mn-lt"/>
              <a:ea typeface="+mn-ea"/>
              <a:cs typeface="+mn-cs"/>
            </a:rPr>
            <a:t>Analyst</a:t>
          </a:r>
        </a:p>
      </xdr:txBody>
    </xdr:sp>
    <xdr:clientData/>
  </xdr:twoCellAnchor>
  <xdr:twoCellAnchor>
    <xdr:from>
      <xdr:col>12</xdr:col>
      <xdr:colOff>114300</xdr:colOff>
      <xdr:row>25</xdr:row>
      <xdr:rowOff>0</xdr:rowOff>
    </xdr:from>
    <xdr:to>
      <xdr:col>13</xdr:col>
      <xdr:colOff>182880</xdr:colOff>
      <xdr:row>26</xdr:row>
      <xdr:rowOff>0</xdr:rowOff>
    </xdr:to>
    <xdr:sp macro="" textlink="">
      <xdr:nvSpPr>
        <xdr:cNvPr id="120" name="Rectangle: Rounded Corners 119">
          <a:extLst>
            <a:ext uri="{FF2B5EF4-FFF2-40B4-BE49-F238E27FC236}">
              <a16:creationId xmlns:a16="http://schemas.microsoft.com/office/drawing/2014/main" id="{218ED759-E8A3-4195-A184-03E84B4E713A}"/>
            </a:ext>
          </a:extLst>
        </xdr:cNvPr>
        <xdr:cNvSpPr/>
      </xdr:nvSpPr>
      <xdr:spPr>
        <a:xfrm>
          <a:off x="7429500" y="4579620"/>
          <a:ext cx="678180" cy="18288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284789</xdr:colOff>
      <xdr:row>20</xdr:row>
      <xdr:rowOff>0</xdr:rowOff>
    </xdr:from>
    <xdr:to>
      <xdr:col>10</xdr:col>
      <xdr:colOff>0</xdr:colOff>
      <xdr:row>22</xdr:row>
      <xdr:rowOff>7620</xdr:rowOff>
    </xdr:to>
    <xdr:sp macro="" textlink="">
      <xdr:nvSpPr>
        <xdr:cNvPr id="128" name="TextBox 127">
          <a:extLst>
            <a:ext uri="{FF2B5EF4-FFF2-40B4-BE49-F238E27FC236}">
              <a16:creationId xmlns:a16="http://schemas.microsoft.com/office/drawing/2014/main" id="{8DC12C58-E124-4FD5-A82B-016D013B1639}"/>
            </a:ext>
          </a:extLst>
        </xdr:cNvPr>
        <xdr:cNvSpPr txBox="1"/>
      </xdr:nvSpPr>
      <xdr:spPr>
        <a:xfrm>
          <a:off x="5184378" y="3710299"/>
          <a:ext cx="940108" cy="377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rgbClr val="FFC000"/>
              </a:solidFill>
              <a:latin typeface="+mn-lt"/>
              <a:ea typeface="+mn-ea"/>
              <a:cs typeface="+mn-cs"/>
            </a:rPr>
            <a:t>Salaries</a:t>
          </a:r>
        </a:p>
      </xdr:txBody>
    </xdr:sp>
    <xdr:clientData/>
  </xdr:twoCellAnchor>
  <xdr:twoCellAnchor>
    <xdr:from>
      <xdr:col>8</xdr:col>
      <xdr:colOff>121596</xdr:colOff>
      <xdr:row>20</xdr:row>
      <xdr:rowOff>178340</xdr:rowOff>
    </xdr:from>
    <xdr:to>
      <xdr:col>11</xdr:col>
      <xdr:colOff>121596</xdr:colOff>
      <xdr:row>22</xdr:row>
      <xdr:rowOff>178341</xdr:rowOff>
    </xdr:to>
    <xdr:sp macro="" textlink="">
      <xdr:nvSpPr>
        <xdr:cNvPr id="129" name="TextBox 128">
          <a:extLst>
            <a:ext uri="{FF2B5EF4-FFF2-40B4-BE49-F238E27FC236}">
              <a16:creationId xmlns:a16="http://schemas.microsoft.com/office/drawing/2014/main" id="{D5BE3678-559E-4F98-831F-D2B586EDD558}"/>
            </a:ext>
          </a:extLst>
        </xdr:cNvPr>
        <xdr:cNvSpPr txBox="1"/>
      </xdr:nvSpPr>
      <xdr:spPr>
        <a:xfrm>
          <a:off x="4985426" y="3915383"/>
          <a:ext cx="1823936" cy="372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a:solidFill>
                <a:schemeClr val="bg2">
                  <a:lumMod val="50000"/>
                </a:schemeClr>
              </a:solidFill>
              <a:latin typeface="+mn-lt"/>
              <a:ea typeface="+mn-ea"/>
              <a:cs typeface="+mn-cs"/>
            </a:rPr>
            <a:t>salary</a:t>
          </a:r>
          <a:r>
            <a:rPr lang="en-IN" sz="1100" b="0" baseline="0">
              <a:solidFill>
                <a:schemeClr val="bg2">
                  <a:lumMod val="50000"/>
                </a:schemeClr>
              </a:solidFill>
              <a:latin typeface="+mn-lt"/>
              <a:ea typeface="+mn-ea"/>
              <a:cs typeface="+mn-cs"/>
            </a:rPr>
            <a:t> amount by job tittles</a:t>
          </a:r>
          <a:endParaRPr lang="en-IN" sz="1100" b="0">
            <a:solidFill>
              <a:schemeClr val="bg2">
                <a:lumMod val="50000"/>
              </a:schemeClr>
            </a:solidFill>
            <a:latin typeface="+mn-lt"/>
            <a:ea typeface="+mn-ea"/>
            <a:cs typeface="+mn-cs"/>
          </a:endParaRPr>
        </a:p>
      </xdr:txBody>
    </xdr:sp>
    <xdr:clientData/>
  </xdr:twoCellAnchor>
  <xdr:twoCellAnchor>
    <xdr:from>
      <xdr:col>12</xdr:col>
      <xdr:colOff>236220</xdr:colOff>
      <xdr:row>19</xdr:row>
      <xdr:rowOff>0</xdr:rowOff>
    </xdr:from>
    <xdr:to>
      <xdr:col>16</xdr:col>
      <xdr:colOff>236220</xdr:colOff>
      <xdr:row>21</xdr:row>
      <xdr:rowOff>0</xdr:rowOff>
    </xdr:to>
    <xdr:sp macro="" textlink="">
      <xdr:nvSpPr>
        <xdr:cNvPr id="131" name="TextBox 130">
          <a:extLst>
            <a:ext uri="{FF2B5EF4-FFF2-40B4-BE49-F238E27FC236}">
              <a16:creationId xmlns:a16="http://schemas.microsoft.com/office/drawing/2014/main" id="{3E43B99C-E5C5-413C-956C-49A2C70223B3}"/>
            </a:ext>
          </a:extLst>
        </xdr:cNvPr>
        <xdr:cNvSpPr txBox="1"/>
      </xdr:nvSpPr>
      <xdr:spPr>
        <a:xfrm>
          <a:off x="7551420" y="3482340"/>
          <a:ext cx="24384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rgbClr val="FFC000"/>
              </a:solidFill>
              <a:latin typeface="+mn-lt"/>
              <a:ea typeface="+mn-ea"/>
              <a:cs typeface="+mn-cs"/>
            </a:rPr>
            <a:t>Employments   </a:t>
          </a:r>
          <a:r>
            <a:rPr lang="en-IN" sz="1200" b="1" baseline="0">
              <a:solidFill>
                <a:srgbClr val="FFC000"/>
              </a:solidFill>
              <a:latin typeface="+mn-lt"/>
              <a:ea typeface="+mn-ea"/>
              <a:cs typeface="+mn-cs"/>
            </a:rPr>
            <a:t> Status    BreakDown</a:t>
          </a:r>
          <a:endParaRPr lang="en-IN" sz="1200" b="1">
            <a:solidFill>
              <a:srgbClr val="FFC000"/>
            </a:solidFill>
            <a:latin typeface="+mn-lt"/>
            <a:ea typeface="+mn-ea"/>
            <a:cs typeface="+mn-cs"/>
          </a:endParaRPr>
        </a:p>
      </xdr:txBody>
    </xdr:sp>
    <xdr:clientData/>
  </xdr:twoCellAnchor>
  <xdr:twoCellAnchor>
    <xdr:from>
      <xdr:col>12</xdr:col>
      <xdr:colOff>60960</xdr:colOff>
      <xdr:row>19</xdr:row>
      <xdr:rowOff>178037</xdr:rowOff>
    </xdr:from>
    <xdr:to>
      <xdr:col>15</xdr:col>
      <xdr:colOff>0</xdr:colOff>
      <xdr:row>26</xdr:row>
      <xdr:rowOff>178037</xdr:rowOff>
    </xdr:to>
    <xdr:graphicFrame macro="">
      <xdr:nvGraphicFramePr>
        <xdr:cNvPr id="132" name="Chart 131">
          <a:extLst>
            <a:ext uri="{FF2B5EF4-FFF2-40B4-BE49-F238E27FC236}">
              <a16:creationId xmlns:a16="http://schemas.microsoft.com/office/drawing/2014/main" id="{F79EAF71-36D3-4708-ABD5-86788637F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5719</xdr:colOff>
      <xdr:row>21</xdr:row>
      <xdr:rowOff>5719</xdr:rowOff>
    </xdr:from>
    <xdr:to>
      <xdr:col>16</xdr:col>
      <xdr:colOff>185719</xdr:colOff>
      <xdr:row>22</xdr:row>
      <xdr:rowOff>2839</xdr:rowOff>
    </xdr:to>
    <xdr:sp macro="" textlink="">
      <xdr:nvSpPr>
        <xdr:cNvPr id="135" name="Oval 134">
          <a:extLst>
            <a:ext uri="{FF2B5EF4-FFF2-40B4-BE49-F238E27FC236}">
              <a16:creationId xmlns:a16="http://schemas.microsoft.com/office/drawing/2014/main" id="{E46C2951-726D-1D03-57D0-30119E077FD5}"/>
            </a:ext>
          </a:extLst>
        </xdr:cNvPr>
        <xdr:cNvSpPr/>
      </xdr:nvSpPr>
      <xdr:spPr>
        <a:xfrm rot="10573973" flipV="1">
          <a:off x="9759319" y="3853819"/>
          <a:ext cx="180000" cy="180000"/>
        </a:xfrm>
        <a:prstGeom prst="ellipse">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5718</xdr:colOff>
      <xdr:row>27</xdr:row>
      <xdr:rowOff>5718</xdr:rowOff>
    </xdr:from>
    <xdr:to>
      <xdr:col>16</xdr:col>
      <xdr:colOff>185718</xdr:colOff>
      <xdr:row>28</xdr:row>
      <xdr:rowOff>2838</xdr:rowOff>
    </xdr:to>
    <xdr:sp macro="" textlink="">
      <xdr:nvSpPr>
        <xdr:cNvPr id="136" name="Oval 135">
          <a:extLst>
            <a:ext uri="{FF2B5EF4-FFF2-40B4-BE49-F238E27FC236}">
              <a16:creationId xmlns:a16="http://schemas.microsoft.com/office/drawing/2014/main" id="{5D6AD083-D9F9-496B-B5E4-2D310FC920E4}"/>
            </a:ext>
          </a:extLst>
        </xdr:cNvPr>
        <xdr:cNvSpPr/>
      </xdr:nvSpPr>
      <xdr:spPr>
        <a:xfrm rot="10573973" flipV="1">
          <a:off x="9759318" y="4951098"/>
          <a:ext cx="180000" cy="180000"/>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516258</xdr:colOff>
      <xdr:row>27</xdr:row>
      <xdr:rowOff>74299</xdr:rowOff>
    </xdr:from>
    <xdr:to>
      <xdr:col>14</xdr:col>
      <xdr:colOff>86658</xdr:colOff>
      <xdr:row>28</xdr:row>
      <xdr:rowOff>71419</xdr:rowOff>
    </xdr:to>
    <xdr:sp macro="" textlink="">
      <xdr:nvSpPr>
        <xdr:cNvPr id="137" name="Oval 136">
          <a:extLst>
            <a:ext uri="{FF2B5EF4-FFF2-40B4-BE49-F238E27FC236}">
              <a16:creationId xmlns:a16="http://schemas.microsoft.com/office/drawing/2014/main" id="{6EA62FB6-4221-475F-ACA2-AAFA3FF40923}"/>
            </a:ext>
          </a:extLst>
        </xdr:cNvPr>
        <xdr:cNvSpPr/>
      </xdr:nvSpPr>
      <xdr:spPr>
        <a:xfrm rot="10573973" flipV="1">
          <a:off x="8441058" y="5019679"/>
          <a:ext cx="180000" cy="180000"/>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295257</xdr:colOff>
      <xdr:row>22</xdr:row>
      <xdr:rowOff>0</xdr:rowOff>
    </xdr:from>
    <xdr:to>
      <xdr:col>7</xdr:col>
      <xdr:colOff>462897</xdr:colOff>
      <xdr:row>32</xdr:row>
      <xdr:rowOff>163794</xdr:rowOff>
    </xdr:to>
    <xdr:graphicFrame macro="">
      <xdr:nvGraphicFramePr>
        <xdr:cNvPr id="138" name="Chart 137">
          <a:extLst>
            <a:ext uri="{FF2B5EF4-FFF2-40B4-BE49-F238E27FC236}">
              <a16:creationId xmlns:a16="http://schemas.microsoft.com/office/drawing/2014/main" id="{F3C8D20C-1190-47F1-9D69-207718875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20</xdr:row>
      <xdr:rowOff>0</xdr:rowOff>
    </xdr:from>
    <xdr:to>
      <xdr:col>5</xdr:col>
      <xdr:colOff>300028</xdr:colOff>
      <xdr:row>22</xdr:row>
      <xdr:rowOff>0</xdr:rowOff>
    </xdr:to>
    <xdr:sp macro="" textlink="">
      <xdr:nvSpPr>
        <xdr:cNvPr id="139" name="TextBox 138">
          <a:extLst>
            <a:ext uri="{FF2B5EF4-FFF2-40B4-BE49-F238E27FC236}">
              <a16:creationId xmlns:a16="http://schemas.microsoft.com/office/drawing/2014/main" id="{AE0E1354-C30D-4617-90A7-602017B3C090}"/>
            </a:ext>
          </a:extLst>
        </xdr:cNvPr>
        <xdr:cNvSpPr txBox="1"/>
      </xdr:nvSpPr>
      <xdr:spPr>
        <a:xfrm flipH="1">
          <a:off x="2449794" y="3710299"/>
          <a:ext cx="912477" cy="370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rgbClr val="FFC000"/>
              </a:solidFill>
              <a:latin typeface="+mn-lt"/>
              <a:ea typeface="+mn-ea"/>
              <a:cs typeface="+mn-cs"/>
            </a:rPr>
            <a:t>Age</a:t>
          </a:r>
          <a:r>
            <a:rPr lang="en-IN" sz="1200" b="1" baseline="0">
              <a:solidFill>
                <a:srgbClr val="FFC000"/>
              </a:solidFill>
              <a:latin typeface="+mn-lt"/>
              <a:ea typeface="+mn-ea"/>
              <a:cs typeface="+mn-cs"/>
            </a:rPr>
            <a:t> Range</a:t>
          </a:r>
          <a:endParaRPr lang="en-IN" sz="1200" b="1">
            <a:solidFill>
              <a:srgbClr val="FFC000"/>
            </a:solidFill>
            <a:latin typeface="+mn-lt"/>
            <a:ea typeface="+mn-ea"/>
            <a:cs typeface="+mn-cs"/>
          </a:endParaRPr>
        </a:p>
      </xdr:txBody>
    </xdr:sp>
    <xdr:clientData/>
  </xdr:twoCellAnchor>
  <xdr:twoCellAnchor>
    <xdr:from>
      <xdr:col>3</xdr:col>
      <xdr:colOff>381469</xdr:colOff>
      <xdr:row>21</xdr:row>
      <xdr:rowOff>862</xdr:rowOff>
    </xdr:from>
    <xdr:to>
      <xdr:col>7</xdr:col>
      <xdr:colOff>469514</xdr:colOff>
      <xdr:row>23</xdr:row>
      <xdr:rowOff>23091</xdr:rowOff>
    </xdr:to>
    <xdr:sp macro="" textlink="">
      <xdr:nvSpPr>
        <xdr:cNvPr id="140" name="TextBox 139">
          <a:extLst>
            <a:ext uri="{FF2B5EF4-FFF2-40B4-BE49-F238E27FC236}">
              <a16:creationId xmlns:a16="http://schemas.microsoft.com/office/drawing/2014/main" id="{113C0BCD-3345-43CB-891D-BFB7E787EBBA}"/>
            </a:ext>
          </a:extLst>
        </xdr:cNvPr>
        <xdr:cNvSpPr txBox="1"/>
      </xdr:nvSpPr>
      <xdr:spPr>
        <a:xfrm>
          <a:off x="2205651" y="3887832"/>
          <a:ext cx="2520287" cy="391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a:solidFill>
                <a:schemeClr val="bg2">
                  <a:lumMod val="50000"/>
                </a:schemeClr>
              </a:solidFill>
              <a:latin typeface="+mn-lt"/>
              <a:ea typeface="+mn-ea"/>
              <a:cs typeface="+mn-cs"/>
            </a:rPr>
            <a:t>No</a:t>
          </a:r>
          <a:r>
            <a:rPr lang="en-IN" sz="1100" b="0" baseline="0">
              <a:solidFill>
                <a:schemeClr val="bg2">
                  <a:lumMod val="50000"/>
                </a:schemeClr>
              </a:solidFill>
              <a:latin typeface="+mn-lt"/>
              <a:ea typeface="+mn-ea"/>
              <a:cs typeface="+mn-cs"/>
            </a:rPr>
            <a:t> of employees according to Age Ranges and Genders</a:t>
          </a:r>
          <a:endParaRPr lang="en-IN" sz="1100" b="0">
            <a:solidFill>
              <a:schemeClr val="bg2">
                <a:lumMod val="50000"/>
              </a:schemeClr>
            </a:solidFill>
            <a:latin typeface="+mn-lt"/>
            <a:ea typeface="+mn-ea"/>
            <a:cs typeface="+mn-cs"/>
          </a:endParaRPr>
        </a:p>
      </xdr:txBody>
    </xdr:sp>
    <xdr:clientData/>
  </xdr:twoCellAnchor>
  <xdr:twoCellAnchor>
    <xdr:from>
      <xdr:col>0</xdr:col>
      <xdr:colOff>198120</xdr:colOff>
      <xdr:row>27</xdr:row>
      <xdr:rowOff>132985</xdr:rowOff>
    </xdr:from>
    <xdr:to>
      <xdr:col>3</xdr:col>
      <xdr:colOff>0</xdr:colOff>
      <xdr:row>31</xdr:row>
      <xdr:rowOff>1</xdr:rowOff>
    </xdr:to>
    <xdr:graphicFrame macro="">
      <xdr:nvGraphicFramePr>
        <xdr:cNvPr id="144" name="Chart 143">
          <a:extLst>
            <a:ext uri="{FF2B5EF4-FFF2-40B4-BE49-F238E27FC236}">
              <a16:creationId xmlns:a16="http://schemas.microsoft.com/office/drawing/2014/main" id="{F23B7372-D849-4330-9C3B-2362698D9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217918</xdr:colOff>
      <xdr:row>30</xdr:row>
      <xdr:rowOff>0</xdr:rowOff>
    </xdr:from>
    <xdr:to>
      <xdr:col>3</xdr:col>
      <xdr:colOff>0</xdr:colOff>
      <xdr:row>32</xdr:row>
      <xdr:rowOff>185158</xdr:rowOff>
    </xdr:to>
    <xdr:graphicFrame macro="">
      <xdr:nvGraphicFramePr>
        <xdr:cNvPr id="145" name="Chart 144">
          <a:extLst>
            <a:ext uri="{FF2B5EF4-FFF2-40B4-BE49-F238E27FC236}">
              <a16:creationId xmlns:a16="http://schemas.microsoft.com/office/drawing/2014/main" id="{25B76443-9506-41B1-A15F-774778223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235010</xdr:colOff>
      <xdr:row>25</xdr:row>
      <xdr:rowOff>0</xdr:rowOff>
    </xdr:from>
    <xdr:to>
      <xdr:col>2</xdr:col>
      <xdr:colOff>1</xdr:colOff>
      <xdr:row>28</xdr:row>
      <xdr:rowOff>99703</xdr:rowOff>
    </xdr:to>
    <xdr:graphicFrame macro="">
      <xdr:nvGraphicFramePr>
        <xdr:cNvPr id="146" name="Chart 145">
          <a:extLst>
            <a:ext uri="{FF2B5EF4-FFF2-40B4-BE49-F238E27FC236}">
              <a16:creationId xmlns:a16="http://schemas.microsoft.com/office/drawing/2014/main" id="{377ECD78-AE3B-4D43-9230-38ECE9F15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206523</xdr:colOff>
      <xdr:row>27</xdr:row>
      <xdr:rowOff>106822</xdr:rowOff>
    </xdr:from>
    <xdr:to>
      <xdr:col>2</xdr:col>
      <xdr:colOff>85458</xdr:colOff>
      <xdr:row>29</xdr:row>
      <xdr:rowOff>0</xdr:rowOff>
    </xdr:to>
    <xdr:sp macro="" textlink="">
      <xdr:nvSpPr>
        <xdr:cNvPr id="147" name="TextBox 146">
          <a:extLst>
            <a:ext uri="{FF2B5EF4-FFF2-40B4-BE49-F238E27FC236}">
              <a16:creationId xmlns:a16="http://schemas.microsoft.com/office/drawing/2014/main" id="{B7B33ECF-4917-4307-B2A3-F35F77FE1D2D}"/>
            </a:ext>
          </a:extLst>
        </xdr:cNvPr>
        <xdr:cNvSpPr txBox="1"/>
      </xdr:nvSpPr>
      <xdr:spPr>
        <a:xfrm>
          <a:off x="206523" y="5113233"/>
          <a:ext cx="1103832" cy="263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chemeClr val="bg1"/>
              </a:solidFill>
              <a:latin typeface="+mn-lt"/>
              <a:ea typeface="+mn-ea"/>
              <a:cs typeface="+mn-cs"/>
            </a:rPr>
            <a:t>Head Office </a:t>
          </a:r>
        </a:p>
      </xdr:txBody>
    </xdr:sp>
    <xdr:clientData/>
  </xdr:twoCellAnchor>
  <xdr:twoCellAnchor>
    <xdr:from>
      <xdr:col>0</xdr:col>
      <xdr:colOff>220766</xdr:colOff>
      <xdr:row>25</xdr:row>
      <xdr:rowOff>0</xdr:rowOff>
    </xdr:from>
    <xdr:to>
      <xdr:col>2</xdr:col>
      <xdr:colOff>220767</xdr:colOff>
      <xdr:row>26</xdr:row>
      <xdr:rowOff>93719</xdr:rowOff>
    </xdr:to>
    <xdr:sp macro="" textlink="">
      <xdr:nvSpPr>
        <xdr:cNvPr id="148" name="TextBox 147">
          <a:extLst>
            <a:ext uri="{FF2B5EF4-FFF2-40B4-BE49-F238E27FC236}">
              <a16:creationId xmlns:a16="http://schemas.microsoft.com/office/drawing/2014/main" id="{6EF15566-DDC0-4560-BE21-7EF00E99881E}"/>
            </a:ext>
          </a:extLst>
        </xdr:cNvPr>
        <xdr:cNvSpPr txBox="1"/>
      </xdr:nvSpPr>
      <xdr:spPr>
        <a:xfrm>
          <a:off x="220766" y="4636093"/>
          <a:ext cx="1224898" cy="278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chemeClr val="bg1"/>
              </a:solidFill>
              <a:latin typeface="+mn-lt"/>
              <a:ea typeface="+mn-ea"/>
              <a:cs typeface="+mn-cs"/>
            </a:rPr>
            <a:t>Branch Office </a:t>
          </a:r>
        </a:p>
      </xdr:txBody>
    </xdr:sp>
    <xdr:clientData/>
  </xdr:twoCellAnchor>
  <xdr:twoCellAnchor>
    <xdr:from>
      <xdr:col>2</xdr:col>
      <xdr:colOff>121065</xdr:colOff>
      <xdr:row>28</xdr:row>
      <xdr:rowOff>106822</xdr:rowOff>
    </xdr:from>
    <xdr:to>
      <xdr:col>4</xdr:col>
      <xdr:colOff>0</xdr:colOff>
      <xdr:row>30</xdr:row>
      <xdr:rowOff>0</xdr:rowOff>
    </xdr:to>
    <xdr:sp macro="" textlink="'pivot table'!R12">
      <xdr:nvSpPr>
        <xdr:cNvPr id="149" name="TextBox 148">
          <a:extLst>
            <a:ext uri="{FF2B5EF4-FFF2-40B4-BE49-F238E27FC236}">
              <a16:creationId xmlns:a16="http://schemas.microsoft.com/office/drawing/2014/main" id="{4E96C14D-F9ED-B78F-6FA5-2173990B356A}"/>
            </a:ext>
          </a:extLst>
        </xdr:cNvPr>
        <xdr:cNvSpPr txBox="1"/>
      </xdr:nvSpPr>
      <xdr:spPr>
        <a:xfrm>
          <a:off x="1345962" y="5298392"/>
          <a:ext cx="1103832" cy="263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765EED3-9BBE-4A50-9886-4C9D189B277E}" type="TxLink">
            <a:rPr lang="en-US" sz="1100" b="0" i="0" u="none" strike="noStrike">
              <a:solidFill>
                <a:schemeClr val="bg1"/>
              </a:solidFill>
              <a:latin typeface="Aptos Narrow"/>
              <a:ea typeface="+mn-ea"/>
              <a:cs typeface="+mn-cs"/>
            </a:rPr>
            <a:pPr marL="0" indent="0"/>
            <a:t>16%</a:t>
          </a:fld>
          <a:endParaRPr lang="en-IN" sz="1200">
            <a:solidFill>
              <a:schemeClr val="bg1"/>
            </a:solidFill>
            <a:latin typeface="+mn-lt"/>
            <a:ea typeface="+mn-ea"/>
            <a:cs typeface="+mn-cs"/>
          </a:endParaRPr>
        </a:p>
      </xdr:txBody>
    </xdr:sp>
    <xdr:clientData/>
  </xdr:twoCellAnchor>
  <xdr:twoCellAnchor>
    <xdr:from>
      <xdr:col>2</xdr:col>
      <xdr:colOff>142430</xdr:colOff>
      <xdr:row>26</xdr:row>
      <xdr:rowOff>91440</xdr:rowOff>
    </xdr:from>
    <xdr:to>
      <xdr:col>3</xdr:col>
      <xdr:colOff>142430</xdr:colOff>
      <xdr:row>28</xdr:row>
      <xdr:rowOff>0</xdr:rowOff>
    </xdr:to>
    <xdr:sp macro="" textlink="'pivot table'!R11">
      <xdr:nvSpPr>
        <xdr:cNvPr id="150" name="TextBox 149">
          <a:extLst>
            <a:ext uri="{FF2B5EF4-FFF2-40B4-BE49-F238E27FC236}">
              <a16:creationId xmlns:a16="http://schemas.microsoft.com/office/drawing/2014/main" id="{AD0D117E-7285-B3D1-5A29-E0C836D38EE8}"/>
            </a:ext>
          </a:extLst>
        </xdr:cNvPr>
        <xdr:cNvSpPr txBox="1"/>
      </xdr:nvSpPr>
      <xdr:spPr>
        <a:xfrm>
          <a:off x="1367327" y="4912692"/>
          <a:ext cx="612449" cy="278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CE2073A-478D-4DF3-A38D-819E6828B4A8}" type="TxLink">
            <a:rPr lang="en-US" sz="1100" b="0" i="0" u="none" strike="noStrike">
              <a:solidFill>
                <a:schemeClr val="bg1"/>
              </a:solidFill>
              <a:latin typeface="Aptos Narrow"/>
              <a:ea typeface="+mn-ea"/>
              <a:cs typeface="+mn-cs"/>
            </a:rPr>
            <a:pPr marL="0" indent="0"/>
            <a:t>46%</a:t>
          </a:fld>
          <a:endParaRPr lang="en-IN" sz="1200">
            <a:solidFill>
              <a:schemeClr val="bg1"/>
            </a:solidFill>
            <a:latin typeface="+mn-lt"/>
            <a:ea typeface="+mn-ea"/>
            <a:cs typeface="+mn-cs"/>
          </a:endParaRPr>
        </a:p>
      </xdr:txBody>
    </xdr:sp>
    <xdr:clientData/>
  </xdr:twoCellAnchor>
  <xdr:twoCellAnchor>
    <xdr:from>
      <xdr:col>2</xdr:col>
      <xdr:colOff>121065</xdr:colOff>
      <xdr:row>31</xdr:row>
      <xdr:rowOff>7121</xdr:rowOff>
    </xdr:from>
    <xdr:to>
      <xdr:col>4</xdr:col>
      <xdr:colOff>0</xdr:colOff>
      <xdr:row>32</xdr:row>
      <xdr:rowOff>85458</xdr:rowOff>
    </xdr:to>
    <xdr:sp macro="" textlink="'pivot table'!R13">
      <xdr:nvSpPr>
        <xdr:cNvPr id="152" name="TextBox 151">
          <a:extLst>
            <a:ext uri="{FF2B5EF4-FFF2-40B4-BE49-F238E27FC236}">
              <a16:creationId xmlns:a16="http://schemas.microsoft.com/office/drawing/2014/main" id="{36143CE0-D52D-46B2-9440-CFEEBD314614}"/>
            </a:ext>
          </a:extLst>
        </xdr:cNvPr>
        <xdr:cNvSpPr txBox="1"/>
      </xdr:nvSpPr>
      <xdr:spPr>
        <a:xfrm>
          <a:off x="1345962" y="5754168"/>
          <a:ext cx="1103832" cy="263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D0C6957-96F8-4C02-B329-55632D6A20EB}" type="TxLink">
            <a:rPr lang="en-US" sz="1100" b="0" i="0" u="none" strike="noStrike">
              <a:solidFill>
                <a:schemeClr val="bg1"/>
              </a:solidFill>
              <a:latin typeface="Aptos Narrow"/>
              <a:ea typeface="+mn-ea"/>
              <a:cs typeface="+mn-cs"/>
            </a:rPr>
            <a:pPr marL="0" indent="0"/>
            <a:t>38%</a:t>
          </a:fld>
          <a:endParaRPr lang="en-IN" sz="1200">
            <a:solidFill>
              <a:schemeClr val="bg1"/>
            </a:solidFill>
            <a:latin typeface="+mn-lt"/>
            <a:ea typeface="+mn-ea"/>
            <a:cs typeface="+mn-cs"/>
          </a:endParaRPr>
        </a:p>
      </xdr:txBody>
    </xdr:sp>
    <xdr:clientData/>
  </xdr:twoCellAnchor>
  <xdr:twoCellAnchor>
    <xdr:from>
      <xdr:col>0</xdr:col>
      <xdr:colOff>335697</xdr:colOff>
      <xdr:row>22</xdr:row>
      <xdr:rowOff>89170</xdr:rowOff>
    </xdr:from>
    <xdr:to>
      <xdr:col>2</xdr:col>
      <xdr:colOff>335696</xdr:colOff>
      <xdr:row>24</xdr:row>
      <xdr:rowOff>89171</xdr:rowOff>
    </xdr:to>
    <xdr:sp macro="" textlink="">
      <xdr:nvSpPr>
        <xdr:cNvPr id="157" name="TextBox 156">
          <a:extLst>
            <a:ext uri="{FF2B5EF4-FFF2-40B4-BE49-F238E27FC236}">
              <a16:creationId xmlns:a16="http://schemas.microsoft.com/office/drawing/2014/main" id="{94EE9246-0D33-41C9-92C0-A3C7A97FF80C}"/>
            </a:ext>
          </a:extLst>
        </xdr:cNvPr>
        <xdr:cNvSpPr txBox="1"/>
      </xdr:nvSpPr>
      <xdr:spPr>
        <a:xfrm flipH="1">
          <a:off x="335697" y="4199106"/>
          <a:ext cx="1215956" cy="372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rgbClr val="FFC000"/>
              </a:solidFill>
              <a:latin typeface="+mn-lt"/>
              <a:ea typeface="+mn-ea"/>
              <a:cs typeface="+mn-cs"/>
            </a:rPr>
            <a:t>Work</a:t>
          </a:r>
          <a:r>
            <a:rPr lang="en-IN" sz="1200" b="1" baseline="0">
              <a:solidFill>
                <a:srgbClr val="FFC000"/>
              </a:solidFill>
              <a:latin typeface="+mn-lt"/>
              <a:ea typeface="+mn-ea"/>
              <a:cs typeface="+mn-cs"/>
            </a:rPr>
            <a:t> Location</a:t>
          </a:r>
          <a:endParaRPr lang="en-IN" sz="1200" b="1">
            <a:solidFill>
              <a:srgbClr val="FFC000"/>
            </a:solidFill>
            <a:latin typeface="+mn-lt"/>
            <a:ea typeface="+mn-ea"/>
            <a:cs typeface="+mn-cs"/>
          </a:endParaRPr>
        </a:p>
      </xdr:txBody>
    </xdr:sp>
    <xdr:clientData/>
  </xdr:twoCellAnchor>
  <xdr:twoCellAnchor>
    <xdr:from>
      <xdr:col>0</xdr:col>
      <xdr:colOff>210766</xdr:colOff>
      <xdr:row>23</xdr:row>
      <xdr:rowOff>75609</xdr:rowOff>
    </xdr:from>
    <xdr:to>
      <xdr:col>3</xdr:col>
      <xdr:colOff>441744</xdr:colOff>
      <xdr:row>25</xdr:row>
      <xdr:rowOff>46809</xdr:rowOff>
    </xdr:to>
    <xdr:sp macro="" textlink="">
      <xdr:nvSpPr>
        <xdr:cNvPr id="158" name="TextBox 157">
          <a:extLst>
            <a:ext uri="{FF2B5EF4-FFF2-40B4-BE49-F238E27FC236}">
              <a16:creationId xmlns:a16="http://schemas.microsoft.com/office/drawing/2014/main" id="{4C850658-0B82-4A57-BFE1-1CCDDD76472B}"/>
            </a:ext>
          </a:extLst>
        </xdr:cNvPr>
        <xdr:cNvSpPr txBox="1"/>
      </xdr:nvSpPr>
      <xdr:spPr>
        <a:xfrm>
          <a:off x="210766" y="4371992"/>
          <a:ext cx="2054914" cy="344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a:solidFill>
                <a:schemeClr val="bg2">
                  <a:lumMod val="50000"/>
                </a:schemeClr>
              </a:solidFill>
              <a:latin typeface="+mn-lt"/>
              <a:ea typeface="+mn-ea"/>
              <a:cs typeface="+mn-cs"/>
            </a:rPr>
            <a:t>Employees</a:t>
          </a:r>
          <a:r>
            <a:rPr lang="en-IN" sz="1100" b="0" baseline="0">
              <a:solidFill>
                <a:schemeClr val="bg2">
                  <a:lumMod val="50000"/>
                </a:schemeClr>
              </a:solidFill>
              <a:latin typeface="+mn-lt"/>
              <a:ea typeface="+mn-ea"/>
              <a:cs typeface="+mn-cs"/>
            </a:rPr>
            <a:t> to work place</a:t>
          </a:r>
          <a:endParaRPr lang="en-IN" sz="1100" b="0">
            <a:solidFill>
              <a:schemeClr val="bg2">
                <a:lumMod val="50000"/>
              </a:schemeClr>
            </a:solidFill>
            <a:latin typeface="+mn-lt"/>
            <a:ea typeface="+mn-ea"/>
            <a:cs typeface="+mn-cs"/>
          </a:endParaRPr>
        </a:p>
      </xdr:txBody>
    </xdr:sp>
    <xdr:clientData/>
  </xdr:twoCellAnchor>
  <xdr:twoCellAnchor>
    <xdr:from>
      <xdr:col>0</xdr:col>
      <xdr:colOff>0</xdr:colOff>
      <xdr:row>14</xdr:row>
      <xdr:rowOff>85458</xdr:rowOff>
    </xdr:from>
    <xdr:to>
      <xdr:col>2</xdr:col>
      <xdr:colOff>0</xdr:colOff>
      <xdr:row>15</xdr:row>
      <xdr:rowOff>179177</xdr:rowOff>
    </xdr:to>
    <xdr:sp macro="" textlink="">
      <xdr:nvSpPr>
        <xdr:cNvPr id="159" name="TextBox 158">
          <a:extLst>
            <a:ext uri="{FF2B5EF4-FFF2-40B4-BE49-F238E27FC236}">
              <a16:creationId xmlns:a16="http://schemas.microsoft.com/office/drawing/2014/main" id="{A3C587FF-D397-4383-9E0B-7A0724A47CFC}"/>
            </a:ext>
          </a:extLst>
        </xdr:cNvPr>
        <xdr:cNvSpPr txBox="1"/>
      </xdr:nvSpPr>
      <xdr:spPr>
        <a:xfrm>
          <a:off x="0" y="2684804"/>
          <a:ext cx="1224897" cy="278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baseline="0">
              <a:solidFill>
                <a:schemeClr val="bg1"/>
              </a:solidFill>
              <a:latin typeface="+mn-lt"/>
              <a:ea typeface="+mn-ea"/>
              <a:cs typeface="+mn-cs"/>
            </a:rPr>
            <a:t>Communication</a:t>
          </a:r>
        </a:p>
      </xdr:txBody>
    </xdr:sp>
    <xdr:clientData/>
  </xdr:twoCellAnchor>
  <xdr:twoCellAnchor>
    <xdr:from>
      <xdr:col>0</xdr:col>
      <xdr:colOff>0</xdr:colOff>
      <xdr:row>15</xdr:row>
      <xdr:rowOff>99701</xdr:rowOff>
    </xdr:from>
    <xdr:to>
      <xdr:col>2</xdr:col>
      <xdr:colOff>0</xdr:colOff>
      <xdr:row>17</xdr:row>
      <xdr:rowOff>23502</xdr:rowOff>
    </xdr:to>
    <xdr:sp macro="" textlink="">
      <xdr:nvSpPr>
        <xdr:cNvPr id="160" name="TextBox 159">
          <a:extLst>
            <a:ext uri="{FF2B5EF4-FFF2-40B4-BE49-F238E27FC236}">
              <a16:creationId xmlns:a16="http://schemas.microsoft.com/office/drawing/2014/main" id="{95A9DAB2-19FD-4E28-ACAB-B49DA536464D}"/>
            </a:ext>
          </a:extLst>
        </xdr:cNvPr>
        <xdr:cNvSpPr txBox="1"/>
      </xdr:nvSpPr>
      <xdr:spPr>
        <a:xfrm>
          <a:off x="0" y="2884206"/>
          <a:ext cx="1224897" cy="294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000" b="0">
              <a:solidFill>
                <a:schemeClr val="bg1"/>
              </a:solidFill>
              <a:latin typeface="+mn-lt"/>
              <a:ea typeface="+mn-ea"/>
              <a:cs typeface="+mn-cs"/>
            </a:rPr>
            <a:t>Design</a:t>
          </a:r>
        </a:p>
      </xdr:txBody>
    </xdr:sp>
    <xdr:clientData/>
  </xdr:twoCellAnchor>
  <xdr:twoCellAnchor>
    <xdr:from>
      <xdr:col>0</xdr:col>
      <xdr:colOff>0</xdr:colOff>
      <xdr:row>16</xdr:row>
      <xdr:rowOff>108958</xdr:rowOff>
    </xdr:from>
    <xdr:to>
      <xdr:col>2</xdr:col>
      <xdr:colOff>0</xdr:colOff>
      <xdr:row>18</xdr:row>
      <xdr:rowOff>15240</xdr:rowOff>
    </xdr:to>
    <xdr:sp macro="" textlink="">
      <xdr:nvSpPr>
        <xdr:cNvPr id="161" name="TextBox 160">
          <a:extLst>
            <a:ext uri="{FF2B5EF4-FFF2-40B4-BE49-F238E27FC236}">
              <a16:creationId xmlns:a16="http://schemas.microsoft.com/office/drawing/2014/main" id="{863613BB-DE7D-4E63-A500-EE41D14D584A}"/>
            </a:ext>
          </a:extLst>
        </xdr:cNvPr>
        <xdr:cNvSpPr txBox="1"/>
      </xdr:nvSpPr>
      <xdr:spPr>
        <a:xfrm>
          <a:off x="0" y="3078622"/>
          <a:ext cx="1224897" cy="276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baseline="0">
              <a:solidFill>
                <a:schemeClr val="bg1"/>
              </a:solidFill>
              <a:latin typeface="+mn-lt"/>
              <a:ea typeface="+mn-ea"/>
              <a:cs typeface="+mn-cs"/>
            </a:rPr>
            <a:t>Excel</a:t>
          </a:r>
        </a:p>
      </xdr:txBody>
    </xdr:sp>
    <xdr:clientData/>
  </xdr:twoCellAnchor>
  <xdr:twoCellAnchor>
    <xdr:from>
      <xdr:col>0</xdr:col>
      <xdr:colOff>0</xdr:colOff>
      <xdr:row>18</xdr:row>
      <xdr:rowOff>0</xdr:rowOff>
    </xdr:from>
    <xdr:to>
      <xdr:col>1</xdr:col>
      <xdr:colOff>306223</xdr:colOff>
      <xdr:row>19</xdr:row>
      <xdr:rowOff>108959</xdr:rowOff>
    </xdr:to>
    <xdr:sp macro="" textlink="">
      <xdr:nvSpPr>
        <xdr:cNvPr id="162" name="TextBox 161">
          <a:extLst>
            <a:ext uri="{FF2B5EF4-FFF2-40B4-BE49-F238E27FC236}">
              <a16:creationId xmlns:a16="http://schemas.microsoft.com/office/drawing/2014/main" id="{AD6A8144-E3C6-42E8-ACEE-463E56C5E336}"/>
            </a:ext>
          </a:extLst>
        </xdr:cNvPr>
        <xdr:cNvSpPr txBox="1"/>
      </xdr:nvSpPr>
      <xdr:spPr>
        <a:xfrm>
          <a:off x="0" y="3339981"/>
          <a:ext cx="918672" cy="294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a:solidFill>
                <a:schemeClr val="bg1"/>
              </a:solidFill>
              <a:latin typeface="+mn-lt"/>
              <a:ea typeface="+mn-ea"/>
              <a:cs typeface="+mn-cs"/>
            </a:rPr>
            <a:t>Management</a:t>
          </a:r>
        </a:p>
      </xdr:txBody>
    </xdr:sp>
    <xdr:clientData/>
  </xdr:twoCellAnchor>
  <xdr:twoCellAnchor>
    <xdr:from>
      <xdr:col>0</xdr:col>
      <xdr:colOff>0</xdr:colOff>
      <xdr:row>19</xdr:row>
      <xdr:rowOff>76200</xdr:rowOff>
    </xdr:from>
    <xdr:to>
      <xdr:col>2</xdr:col>
      <xdr:colOff>0</xdr:colOff>
      <xdr:row>21</xdr:row>
      <xdr:rowOff>60960</xdr:rowOff>
    </xdr:to>
    <xdr:sp macro="" textlink="">
      <xdr:nvSpPr>
        <xdr:cNvPr id="163" name="TextBox 162">
          <a:extLst>
            <a:ext uri="{FF2B5EF4-FFF2-40B4-BE49-F238E27FC236}">
              <a16:creationId xmlns:a16="http://schemas.microsoft.com/office/drawing/2014/main" id="{EAF2EC0C-74AF-4E09-A497-613EC361BD05}"/>
            </a:ext>
          </a:extLst>
        </xdr:cNvPr>
        <xdr:cNvSpPr txBox="1"/>
      </xdr:nvSpPr>
      <xdr:spPr>
        <a:xfrm>
          <a:off x="0" y="3601340"/>
          <a:ext cx="1224897" cy="355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a:solidFill>
                <a:schemeClr val="bg1"/>
              </a:solidFill>
              <a:latin typeface="+mn-lt"/>
              <a:ea typeface="+mn-ea"/>
              <a:cs typeface="+mn-cs"/>
            </a:rPr>
            <a:t>Python</a:t>
          </a:r>
        </a:p>
      </xdr:txBody>
    </xdr:sp>
    <xdr:clientData/>
  </xdr:twoCellAnchor>
  <xdr:twoCellAnchor>
    <xdr:from>
      <xdr:col>2</xdr:col>
      <xdr:colOff>192281</xdr:colOff>
      <xdr:row>14</xdr:row>
      <xdr:rowOff>0</xdr:rowOff>
    </xdr:from>
    <xdr:to>
      <xdr:col>3</xdr:col>
      <xdr:colOff>192281</xdr:colOff>
      <xdr:row>15</xdr:row>
      <xdr:rowOff>93719</xdr:rowOff>
    </xdr:to>
    <xdr:sp macro="" textlink="">
      <xdr:nvSpPr>
        <xdr:cNvPr id="172" name="TextBox 171">
          <a:extLst>
            <a:ext uri="{FF2B5EF4-FFF2-40B4-BE49-F238E27FC236}">
              <a16:creationId xmlns:a16="http://schemas.microsoft.com/office/drawing/2014/main" id="{533E6D5A-94E4-4F31-B3EA-8843A5685490}"/>
            </a:ext>
          </a:extLst>
        </xdr:cNvPr>
        <xdr:cNvSpPr txBox="1"/>
      </xdr:nvSpPr>
      <xdr:spPr>
        <a:xfrm>
          <a:off x="1417178" y="2599346"/>
          <a:ext cx="612449" cy="278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baseline="0">
              <a:solidFill>
                <a:srgbClr val="FFC000"/>
              </a:solidFill>
              <a:latin typeface="+mn-lt"/>
              <a:ea typeface="+mn-ea"/>
              <a:cs typeface="+mn-cs"/>
            </a:rPr>
            <a:t>12</a:t>
          </a:r>
        </a:p>
      </xdr:txBody>
    </xdr:sp>
    <xdr:clientData/>
  </xdr:twoCellAnchor>
  <xdr:twoCellAnchor>
    <xdr:from>
      <xdr:col>2</xdr:col>
      <xdr:colOff>192281</xdr:colOff>
      <xdr:row>15</xdr:row>
      <xdr:rowOff>69077</xdr:rowOff>
    </xdr:from>
    <xdr:to>
      <xdr:col>3</xdr:col>
      <xdr:colOff>192281</xdr:colOff>
      <xdr:row>16</xdr:row>
      <xdr:rowOff>178036</xdr:rowOff>
    </xdr:to>
    <xdr:sp macro="" textlink="">
      <xdr:nvSpPr>
        <xdr:cNvPr id="173" name="TextBox 172">
          <a:extLst>
            <a:ext uri="{FF2B5EF4-FFF2-40B4-BE49-F238E27FC236}">
              <a16:creationId xmlns:a16="http://schemas.microsoft.com/office/drawing/2014/main" id="{3A027F00-52CA-4E42-A30D-62D4E07E4B82}"/>
            </a:ext>
          </a:extLst>
        </xdr:cNvPr>
        <xdr:cNvSpPr txBox="1"/>
      </xdr:nvSpPr>
      <xdr:spPr>
        <a:xfrm>
          <a:off x="1417178" y="2853582"/>
          <a:ext cx="612449" cy="294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a:solidFill>
                <a:srgbClr val="FFC000"/>
              </a:solidFill>
              <a:latin typeface="+mn-lt"/>
              <a:ea typeface="+mn-ea"/>
              <a:cs typeface="+mn-cs"/>
            </a:rPr>
            <a:t>11</a:t>
          </a:r>
        </a:p>
      </xdr:txBody>
    </xdr:sp>
    <xdr:clientData/>
  </xdr:twoCellAnchor>
  <xdr:twoCellAnchor>
    <xdr:from>
      <xdr:col>2</xdr:col>
      <xdr:colOff>192281</xdr:colOff>
      <xdr:row>16</xdr:row>
      <xdr:rowOff>108958</xdr:rowOff>
    </xdr:from>
    <xdr:to>
      <xdr:col>3</xdr:col>
      <xdr:colOff>192281</xdr:colOff>
      <xdr:row>18</xdr:row>
      <xdr:rowOff>15240</xdr:rowOff>
    </xdr:to>
    <xdr:sp macro="" textlink="">
      <xdr:nvSpPr>
        <xdr:cNvPr id="174" name="TextBox 173">
          <a:extLst>
            <a:ext uri="{FF2B5EF4-FFF2-40B4-BE49-F238E27FC236}">
              <a16:creationId xmlns:a16="http://schemas.microsoft.com/office/drawing/2014/main" id="{28EE77C3-1DEB-433B-ACFB-CC8868689276}"/>
            </a:ext>
          </a:extLst>
        </xdr:cNvPr>
        <xdr:cNvSpPr txBox="1"/>
      </xdr:nvSpPr>
      <xdr:spPr>
        <a:xfrm>
          <a:off x="1417178" y="3078622"/>
          <a:ext cx="612449" cy="276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baseline="0">
              <a:solidFill>
                <a:srgbClr val="FFC000"/>
              </a:solidFill>
              <a:latin typeface="+mn-lt"/>
              <a:ea typeface="+mn-ea"/>
              <a:cs typeface="+mn-cs"/>
            </a:rPr>
            <a:t>7</a:t>
          </a:r>
        </a:p>
      </xdr:txBody>
    </xdr:sp>
    <xdr:clientData/>
  </xdr:twoCellAnchor>
  <xdr:twoCellAnchor>
    <xdr:from>
      <xdr:col>2</xdr:col>
      <xdr:colOff>192281</xdr:colOff>
      <xdr:row>18</xdr:row>
      <xdr:rowOff>0</xdr:rowOff>
    </xdr:from>
    <xdr:to>
      <xdr:col>3</xdr:col>
      <xdr:colOff>192281</xdr:colOff>
      <xdr:row>19</xdr:row>
      <xdr:rowOff>108959</xdr:rowOff>
    </xdr:to>
    <xdr:sp macro="" textlink="">
      <xdr:nvSpPr>
        <xdr:cNvPr id="175" name="TextBox 174">
          <a:extLst>
            <a:ext uri="{FF2B5EF4-FFF2-40B4-BE49-F238E27FC236}">
              <a16:creationId xmlns:a16="http://schemas.microsoft.com/office/drawing/2014/main" id="{C5497C0D-272F-4CAE-A807-FF28DCD7AD75}"/>
            </a:ext>
          </a:extLst>
        </xdr:cNvPr>
        <xdr:cNvSpPr txBox="1"/>
      </xdr:nvSpPr>
      <xdr:spPr>
        <a:xfrm>
          <a:off x="1417178" y="3339981"/>
          <a:ext cx="612449" cy="294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a:solidFill>
                <a:srgbClr val="FFC000"/>
              </a:solidFill>
              <a:latin typeface="+mn-lt"/>
              <a:ea typeface="+mn-ea"/>
              <a:cs typeface="+mn-cs"/>
            </a:rPr>
            <a:t>11</a:t>
          </a:r>
        </a:p>
      </xdr:txBody>
    </xdr:sp>
    <xdr:clientData/>
  </xdr:twoCellAnchor>
  <xdr:twoCellAnchor>
    <xdr:from>
      <xdr:col>2</xdr:col>
      <xdr:colOff>192281</xdr:colOff>
      <xdr:row>19</xdr:row>
      <xdr:rowOff>76200</xdr:rowOff>
    </xdr:from>
    <xdr:to>
      <xdr:col>3</xdr:col>
      <xdr:colOff>192281</xdr:colOff>
      <xdr:row>21</xdr:row>
      <xdr:rowOff>60960</xdr:rowOff>
    </xdr:to>
    <xdr:sp macro="" textlink="">
      <xdr:nvSpPr>
        <xdr:cNvPr id="176" name="TextBox 175">
          <a:extLst>
            <a:ext uri="{FF2B5EF4-FFF2-40B4-BE49-F238E27FC236}">
              <a16:creationId xmlns:a16="http://schemas.microsoft.com/office/drawing/2014/main" id="{8B44B09A-2C3B-4D3F-94EA-1EF417AE4C68}"/>
            </a:ext>
          </a:extLst>
        </xdr:cNvPr>
        <xdr:cNvSpPr txBox="1"/>
      </xdr:nvSpPr>
      <xdr:spPr>
        <a:xfrm>
          <a:off x="1417178" y="3601340"/>
          <a:ext cx="612449" cy="355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a:solidFill>
                <a:srgbClr val="FFC000"/>
              </a:solidFill>
              <a:latin typeface="+mn-lt"/>
              <a:ea typeface="+mn-ea"/>
              <a:cs typeface="+mn-cs"/>
            </a:rPr>
            <a:t>9</a:t>
          </a:r>
        </a:p>
      </xdr:txBody>
    </xdr:sp>
    <xdr:clientData/>
  </xdr:twoCellAnchor>
  <xdr:twoCellAnchor>
    <xdr:from>
      <xdr:col>0</xdr:col>
      <xdr:colOff>7620</xdr:colOff>
      <xdr:row>11</xdr:row>
      <xdr:rowOff>0</xdr:rowOff>
    </xdr:from>
    <xdr:to>
      <xdr:col>2</xdr:col>
      <xdr:colOff>0</xdr:colOff>
      <xdr:row>14</xdr:row>
      <xdr:rowOff>26136</xdr:rowOff>
    </xdr:to>
    <xdr:sp macro="" textlink="">
      <xdr:nvSpPr>
        <xdr:cNvPr id="179" name="TextBox 178">
          <a:extLst>
            <a:ext uri="{FF2B5EF4-FFF2-40B4-BE49-F238E27FC236}">
              <a16:creationId xmlns:a16="http://schemas.microsoft.com/office/drawing/2014/main" id="{A9F16EC5-971E-4F77-93D8-C3F88EA73164}"/>
            </a:ext>
          </a:extLst>
        </xdr:cNvPr>
        <xdr:cNvSpPr txBox="1"/>
      </xdr:nvSpPr>
      <xdr:spPr>
        <a:xfrm>
          <a:off x="7620" y="2043869"/>
          <a:ext cx="1217277" cy="581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a:solidFill>
                <a:srgbClr val="FFC000"/>
              </a:solidFill>
              <a:latin typeface="+mn-lt"/>
              <a:ea typeface="+mn-ea"/>
              <a:cs typeface="+mn-cs"/>
            </a:rPr>
            <a:t>Skills</a:t>
          </a:r>
          <a:r>
            <a:rPr lang="en-IN" sz="1400" b="1" baseline="0">
              <a:solidFill>
                <a:srgbClr val="FFC000"/>
              </a:solidFill>
              <a:latin typeface="+mn-lt"/>
              <a:ea typeface="+mn-ea"/>
              <a:cs typeface="+mn-cs"/>
            </a:rPr>
            <a:t> </a:t>
          </a:r>
        </a:p>
        <a:p>
          <a:pPr marL="0" indent="0"/>
          <a:r>
            <a:rPr lang="en-IN" sz="1400" b="1" baseline="0">
              <a:solidFill>
                <a:srgbClr val="FFC000"/>
              </a:solidFill>
              <a:latin typeface="+mn-lt"/>
              <a:ea typeface="+mn-ea"/>
              <a:cs typeface="+mn-cs"/>
            </a:rPr>
            <a:t>Breakdown</a:t>
          </a:r>
          <a:endParaRPr lang="en-IN" sz="1400" b="1">
            <a:solidFill>
              <a:srgbClr val="FFC000"/>
            </a:solidFill>
            <a:latin typeface="+mn-lt"/>
            <a:ea typeface="+mn-ea"/>
            <a:cs typeface="+mn-cs"/>
          </a:endParaRPr>
        </a:p>
      </xdr:txBody>
    </xdr:sp>
    <xdr:clientData/>
  </xdr:twoCellAnchor>
  <xdr:twoCellAnchor editAs="oneCell">
    <xdr:from>
      <xdr:col>1</xdr:col>
      <xdr:colOff>0</xdr:colOff>
      <xdr:row>7</xdr:row>
      <xdr:rowOff>0</xdr:rowOff>
    </xdr:from>
    <xdr:to>
      <xdr:col>3</xdr:col>
      <xdr:colOff>0</xdr:colOff>
      <xdr:row>12</xdr:row>
      <xdr:rowOff>0</xdr:rowOff>
    </xdr:to>
    <xdr:pic>
      <xdr:nvPicPr>
        <xdr:cNvPr id="180" name="Picture 179">
          <a:extLst>
            <a:ext uri="{FF2B5EF4-FFF2-40B4-BE49-F238E27FC236}">
              <a16:creationId xmlns:a16="http://schemas.microsoft.com/office/drawing/2014/main" id="{3EDF6515-74AF-43C9-77B3-8286285C8669}"/>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12449" y="1296112"/>
          <a:ext cx="1224897" cy="9329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79701</xdr:colOff>
      <xdr:row>7</xdr:row>
      <xdr:rowOff>170234</xdr:rowOff>
    </xdr:from>
    <xdr:to>
      <xdr:col>7</xdr:col>
      <xdr:colOff>267510</xdr:colOff>
      <xdr:row>12</xdr:row>
      <xdr:rowOff>170235</xdr:rowOff>
    </xdr:to>
    <xdr:pic>
      <xdr:nvPicPr>
        <xdr:cNvPr id="181" name="Picture 180">
          <a:extLst>
            <a:ext uri="{FF2B5EF4-FFF2-40B4-BE49-F238E27FC236}">
              <a16:creationId xmlns:a16="http://schemas.microsoft.com/office/drawing/2014/main" id="{9B497741-6774-956F-F981-27D77577DF35}"/>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727573" y="1475362"/>
          <a:ext cx="795788" cy="940341"/>
        </a:xfrm>
        <a:prstGeom prst="rect">
          <a:avLst/>
        </a:prstGeom>
        <a:noFill/>
      </xdr:spPr>
    </xdr:pic>
    <xdr:clientData/>
  </xdr:twoCellAnchor>
  <xdr:twoCellAnchor>
    <xdr:from>
      <xdr:col>3</xdr:col>
      <xdr:colOff>598205</xdr:colOff>
      <xdr:row>6</xdr:row>
      <xdr:rowOff>63866</xdr:rowOff>
    </xdr:from>
    <xdr:to>
      <xdr:col>6</xdr:col>
      <xdr:colOff>370314</xdr:colOff>
      <xdr:row>8</xdr:row>
      <xdr:rowOff>64852</xdr:rowOff>
    </xdr:to>
    <xdr:sp macro="" textlink="">
      <xdr:nvSpPr>
        <xdr:cNvPr id="182" name="TextBox 181">
          <a:extLst>
            <a:ext uri="{FF2B5EF4-FFF2-40B4-BE49-F238E27FC236}">
              <a16:creationId xmlns:a16="http://schemas.microsoft.com/office/drawing/2014/main" id="{69AD1880-7181-4707-9EB8-40FCD54D016F}"/>
            </a:ext>
          </a:extLst>
        </xdr:cNvPr>
        <xdr:cNvSpPr txBox="1"/>
      </xdr:nvSpPr>
      <xdr:spPr>
        <a:xfrm flipH="1">
          <a:off x="2422141" y="1182547"/>
          <a:ext cx="1596045" cy="373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rgbClr val="FFC000"/>
              </a:solidFill>
              <a:latin typeface="+mn-lt"/>
              <a:ea typeface="+mn-ea"/>
              <a:cs typeface="+mn-cs"/>
            </a:rPr>
            <a:t>EMPLOYEES</a:t>
          </a:r>
          <a:r>
            <a:rPr lang="en-IN" sz="1200" b="1" baseline="0">
              <a:solidFill>
                <a:srgbClr val="FFC000"/>
              </a:solidFill>
              <a:latin typeface="+mn-lt"/>
              <a:ea typeface="+mn-ea"/>
              <a:cs typeface="+mn-cs"/>
            </a:rPr>
            <a:t> NUMBER</a:t>
          </a:r>
          <a:endParaRPr lang="en-IN" sz="1200" b="1">
            <a:solidFill>
              <a:srgbClr val="FFC000"/>
            </a:solidFill>
            <a:latin typeface="+mn-lt"/>
            <a:ea typeface="+mn-ea"/>
            <a:cs typeface="+mn-cs"/>
          </a:endParaRPr>
        </a:p>
      </xdr:txBody>
    </xdr:sp>
    <xdr:clientData/>
  </xdr:twoCellAnchor>
  <xdr:twoCellAnchor>
    <xdr:from>
      <xdr:col>3</xdr:col>
      <xdr:colOff>591084</xdr:colOff>
      <xdr:row>8</xdr:row>
      <xdr:rowOff>49849</xdr:rowOff>
    </xdr:from>
    <xdr:to>
      <xdr:col>5</xdr:col>
      <xdr:colOff>591084</xdr:colOff>
      <xdr:row>11</xdr:row>
      <xdr:rowOff>185158</xdr:rowOff>
    </xdr:to>
    <xdr:sp macro="" textlink="">
      <xdr:nvSpPr>
        <xdr:cNvPr id="183" name="TextBox 182">
          <a:extLst>
            <a:ext uri="{FF2B5EF4-FFF2-40B4-BE49-F238E27FC236}">
              <a16:creationId xmlns:a16="http://schemas.microsoft.com/office/drawing/2014/main" id="{9CC0D299-9CEE-4E78-A75B-AFEC9202674C}"/>
            </a:ext>
          </a:extLst>
        </xdr:cNvPr>
        <xdr:cNvSpPr txBox="1"/>
      </xdr:nvSpPr>
      <xdr:spPr>
        <a:xfrm>
          <a:off x="2428430" y="1531120"/>
          <a:ext cx="1224897" cy="697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4000" b="1" baseline="0">
              <a:solidFill>
                <a:schemeClr val="bg1"/>
              </a:solidFill>
              <a:latin typeface="+mn-lt"/>
              <a:ea typeface="+mn-ea"/>
              <a:cs typeface="+mn-cs"/>
            </a:rPr>
            <a:t>50</a:t>
          </a:r>
        </a:p>
      </xdr:txBody>
    </xdr:sp>
    <xdr:clientData/>
  </xdr:twoCellAnchor>
  <xdr:twoCellAnchor>
    <xdr:from>
      <xdr:col>3</xdr:col>
      <xdr:colOff>551234</xdr:colOff>
      <xdr:row>11</xdr:row>
      <xdr:rowOff>85076</xdr:rowOff>
    </xdr:from>
    <xdr:to>
      <xdr:col>5</xdr:col>
      <xdr:colOff>555703</xdr:colOff>
      <xdr:row>12</xdr:row>
      <xdr:rowOff>178795</xdr:rowOff>
    </xdr:to>
    <xdr:sp macro="" textlink="">
      <xdr:nvSpPr>
        <xdr:cNvPr id="184" name="TextBox 183">
          <a:extLst>
            <a:ext uri="{FF2B5EF4-FFF2-40B4-BE49-F238E27FC236}">
              <a16:creationId xmlns:a16="http://schemas.microsoft.com/office/drawing/2014/main" id="{A04B304E-8655-4930-B4A0-28065FF4EB65}"/>
            </a:ext>
          </a:extLst>
        </xdr:cNvPr>
        <xdr:cNvSpPr txBox="1"/>
      </xdr:nvSpPr>
      <xdr:spPr>
        <a:xfrm>
          <a:off x="2375170" y="2144097"/>
          <a:ext cx="1220427" cy="280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0" baseline="0">
              <a:solidFill>
                <a:schemeClr val="bg1"/>
              </a:solidFill>
              <a:latin typeface="+mn-lt"/>
              <a:ea typeface="+mn-ea"/>
              <a:cs typeface="+mn-cs"/>
            </a:rPr>
            <a:t>Total Empoyees</a:t>
          </a:r>
        </a:p>
      </xdr:txBody>
    </xdr:sp>
    <xdr:clientData/>
  </xdr:twoCellAnchor>
  <xdr:twoCellAnchor>
    <xdr:from>
      <xdr:col>3</xdr:col>
      <xdr:colOff>418174</xdr:colOff>
      <xdr:row>13</xdr:row>
      <xdr:rowOff>100413</xdr:rowOff>
    </xdr:from>
    <xdr:to>
      <xdr:col>5</xdr:col>
      <xdr:colOff>0</xdr:colOff>
      <xdr:row>15</xdr:row>
      <xdr:rowOff>0</xdr:rowOff>
    </xdr:to>
    <xdr:sp macro="" textlink="">
      <xdr:nvSpPr>
        <xdr:cNvPr id="185" name="TextBox 184">
          <a:extLst>
            <a:ext uri="{FF2B5EF4-FFF2-40B4-BE49-F238E27FC236}">
              <a16:creationId xmlns:a16="http://schemas.microsoft.com/office/drawing/2014/main" id="{5319CCF5-7289-4516-9900-54733711E5EE}"/>
            </a:ext>
          </a:extLst>
        </xdr:cNvPr>
        <xdr:cNvSpPr txBox="1"/>
      </xdr:nvSpPr>
      <xdr:spPr>
        <a:xfrm>
          <a:off x="2255520" y="2514600"/>
          <a:ext cx="806723" cy="269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rgbClr val="FFC000"/>
              </a:solidFill>
              <a:latin typeface="+mn-lt"/>
              <a:ea typeface="+mn-ea"/>
              <a:cs typeface="+mn-cs"/>
            </a:rPr>
            <a:t>Males</a:t>
          </a:r>
        </a:p>
      </xdr:txBody>
    </xdr:sp>
    <xdr:clientData/>
  </xdr:twoCellAnchor>
  <xdr:twoCellAnchor>
    <xdr:from>
      <xdr:col>5</xdr:col>
      <xdr:colOff>473438</xdr:colOff>
      <xdr:row>13</xdr:row>
      <xdr:rowOff>100413</xdr:rowOff>
    </xdr:from>
    <xdr:to>
      <xdr:col>7</xdr:col>
      <xdr:colOff>1</xdr:colOff>
      <xdr:row>15</xdr:row>
      <xdr:rowOff>100413</xdr:rowOff>
    </xdr:to>
    <xdr:sp macro="" textlink="">
      <xdr:nvSpPr>
        <xdr:cNvPr id="186" name="TextBox 185">
          <a:extLst>
            <a:ext uri="{FF2B5EF4-FFF2-40B4-BE49-F238E27FC236}">
              <a16:creationId xmlns:a16="http://schemas.microsoft.com/office/drawing/2014/main" id="{3D60F536-9B4B-4535-AAC7-C0ECF3466BCA}"/>
            </a:ext>
          </a:extLst>
        </xdr:cNvPr>
        <xdr:cNvSpPr txBox="1"/>
      </xdr:nvSpPr>
      <xdr:spPr>
        <a:xfrm>
          <a:off x="3535681" y="2514600"/>
          <a:ext cx="751460" cy="370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rgbClr val="FFC000"/>
              </a:solidFill>
              <a:latin typeface="+mn-lt"/>
              <a:ea typeface="+mn-ea"/>
              <a:cs typeface="+mn-cs"/>
            </a:rPr>
            <a:t>Female</a:t>
          </a:r>
        </a:p>
      </xdr:txBody>
    </xdr:sp>
    <xdr:clientData/>
  </xdr:twoCellAnchor>
  <xdr:twoCellAnchor>
    <xdr:from>
      <xdr:col>3</xdr:col>
      <xdr:colOff>413046</xdr:colOff>
      <xdr:row>14</xdr:row>
      <xdr:rowOff>1</xdr:rowOff>
    </xdr:from>
    <xdr:to>
      <xdr:col>6</xdr:col>
      <xdr:colOff>0</xdr:colOff>
      <xdr:row>19</xdr:row>
      <xdr:rowOff>92581</xdr:rowOff>
    </xdr:to>
    <xdr:graphicFrame macro="">
      <xdr:nvGraphicFramePr>
        <xdr:cNvPr id="187" name="Chart 186">
          <a:extLst>
            <a:ext uri="{FF2B5EF4-FFF2-40B4-BE49-F238E27FC236}">
              <a16:creationId xmlns:a16="http://schemas.microsoft.com/office/drawing/2014/main" id="{086EED05-2D30-4384-9707-F4BB3BC50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0</xdr:colOff>
      <xdr:row>12</xdr:row>
      <xdr:rowOff>185158</xdr:rowOff>
    </xdr:from>
    <xdr:to>
      <xdr:col>7</xdr:col>
      <xdr:colOff>575552</xdr:colOff>
      <xdr:row>20</xdr:row>
      <xdr:rowOff>35887</xdr:rowOff>
    </xdr:to>
    <xdr:graphicFrame macro="">
      <xdr:nvGraphicFramePr>
        <xdr:cNvPr id="188" name="Chart 187">
          <a:extLst>
            <a:ext uri="{FF2B5EF4-FFF2-40B4-BE49-F238E27FC236}">
              <a16:creationId xmlns:a16="http://schemas.microsoft.com/office/drawing/2014/main" id="{E5042683-71A6-4B54-BD7E-0C2496DCF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306224</xdr:colOff>
      <xdr:row>16</xdr:row>
      <xdr:rowOff>49850</xdr:rowOff>
    </xdr:from>
    <xdr:to>
      <xdr:col>6</xdr:col>
      <xdr:colOff>0</xdr:colOff>
      <xdr:row>18</xdr:row>
      <xdr:rowOff>0</xdr:rowOff>
    </xdr:to>
    <xdr:sp macro="" textlink="">
      <xdr:nvSpPr>
        <xdr:cNvPr id="189" name="TextBox 188">
          <a:extLst>
            <a:ext uri="{FF2B5EF4-FFF2-40B4-BE49-F238E27FC236}">
              <a16:creationId xmlns:a16="http://schemas.microsoft.com/office/drawing/2014/main" id="{242B7B19-790C-4658-8DB0-6695C18DF12A}"/>
            </a:ext>
          </a:extLst>
        </xdr:cNvPr>
        <xdr:cNvSpPr txBox="1"/>
      </xdr:nvSpPr>
      <xdr:spPr>
        <a:xfrm>
          <a:off x="2756018" y="3019514"/>
          <a:ext cx="918674" cy="320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baseline="0">
              <a:solidFill>
                <a:schemeClr val="bg1"/>
              </a:solidFill>
              <a:latin typeface="+mn-lt"/>
              <a:ea typeface="+mn-ea"/>
              <a:cs typeface="+mn-cs"/>
            </a:rPr>
            <a:t>52%</a:t>
          </a:r>
        </a:p>
      </xdr:txBody>
    </xdr:sp>
    <xdr:clientData/>
  </xdr:twoCellAnchor>
  <xdr:twoCellAnchor>
    <xdr:from>
      <xdr:col>6</xdr:col>
      <xdr:colOff>413046</xdr:colOff>
      <xdr:row>16</xdr:row>
      <xdr:rowOff>49850</xdr:rowOff>
    </xdr:from>
    <xdr:to>
      <xdr:col>8</xdr:col>
      <xdr:colOff>106823</xdr:colOff>
      <xdr:row>18</xdr:row>
      <xdr:rowOff>0</xdr:rowOff>
    </xdr:to>
    <xdr:sp macro="" textlink="">
      <xdr:nvSpPr>
        <xdr:cNvPr id="190" name="TextBox 189">
          <a:extLst>
            <a:ext uri="{FF2B5EF4-FFF2-40B4-BE49-F238E27FC236}">
              <a16:creationId xmlns:a16="http://schemas.microsoft.com/office/drawing/2014/main" id="{5BAD0BAA-AA19-4223-B3F2-13CE3F3B9050}"/>
            </a:ext>
          </a:extLst>
        </xdr:cNvPr>
        <xdr:cNvSpPr txBox="1"/>
      </xdr:nvSpPr>
      <xdr:spPr>
        <a:xfrm>
          <a:off x="4087738" y="3019514"/>
          <a:ext cx="918674" cy="320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baseline="0">
              <a:solidFill>
                <a:srgbClr val="FFC000"/>
              </a:solidFill>
              <a:latin typeface="+mn-lt"/>
              <a:ea typeface="+mn-ea"/>
              <a:cs typeface="+mn-cs"/>
            </a:rPr>
            <a:t>48%</a:t>
          </a:r>
        </a:p>
      </xdr:txBody>
    </xdr:sp>
    <xdr:clientData/>
  </xdr:twoCellAnchor>
  <xdr:twoCellAnchor>
    <xdr:from>
      <xdr:col>8</xdr:col>
      <xdr:colOff>131368</xdr:colOff>
      <xdr:row>9</xdr:row>
      <xdr:rowOff>87881</xdr:rowOff>
    </xdr:from>
    <xdr:to>
      <xdr:col>11</xdr:col>
      <xdr:colOff>599872</xdr:colOff>
      <xdr:row>19</xdr:row>
      <xdr:rowOff>121594</xdr:rowOff>
    </xdr:to>
    <xdr:graphicFrame macro="">
      <xdr:nvGraphicFramePr>
        <xdr:cNvPr id="191" name="Chart 190">
          <a:extLst>
            <a:ext uri="{FF2B5EF4-FFF2-40B4-BE49-F238E27FC236}">
              <a16:creationId xmlns:a16="http://schemas.microsoft.com/office/drawing/2014/main" id="{F76A9EA4-A249-402C-9D9D-5808B4E1E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0</xdr:colOff>
      <xdr:row>10</xdr:row>
      <xdr:rowOff>0</xdr:rowOff>
    </xdr:from>
    <xdr:to>
      <xdr:col>14</xdr:col>
      <xdr:colOff>0</xdr:colOff>
      <xdr:row>12</xdr:row>
      <xdr:rowOff>0</xdr:rowOff>
    </xdr:to>
    <xdr:sp macro="" textlink="">
      <xdr:nvSpPr>
        <xdr:cNvPr id="193" name="TextBox 192">
          <a:extLst>
            <a:ext uri="{FF2B5EF4-FFF2-40B4-BE49-F238E27FC236}">
              <a16:creationId xmlns:a16="http://schemas.microsoft.com/office/drawing/2014/main" id="{EB1E9360-F264-4863-A243-6876A3EE5312}"/>
            </a:ext>
          </a:extLst>
        </xdr:cNvPr>
        <xdr:cNvSpPr txBox="1"/>
      </xdr:nvSpPr>
      <xdr:spPr>
        <a:xfrm>
          <a:off x="7961832" y="1858710"/>
          <a:ext cx="612448" cy="370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en-IN" sz="1200">
            <a:solidFill>
              <a:schemeClr val="bg1"/>
            </a:solidFill>
            <a:latin typeface="+mn-lt"/>
            <a:ea typeface="+mn-ea"/>
            <a:cs typeface="+mn-cs"/>
          </a:endParaRPr>
        </a:p>
        <a:p>
          <a:pPr marL="0" indent="0"/>
          <a:endParaRPr lang="en-IN" sz="1200">
            <a:solidFill>
              <a:schemeClr val="bg1"/>
            </a:solidFill>
            <a:latin typeface="+mn-lt"/>
            <a:ea typeface="+mn-ea"/>
            <a:cs typeface="+mn-cs"/>
          </a:endParaRPr>
        </a:p>
      </xdr:txBody>
    </xdr:sp>
    <xdr:clientData/>
  </xdr:twoCellAnchor>
  <xdr:twoCellAnchor>
    <xdr:from>
      <xdr:col>12</xdr:col>
      <xdr:colOff>156317</xdr:colOff>
      <xdr:row>26</xdr:row>
      <xdr:rowOff>93648</xdr:rowOff>
    </xdr:from>
    <xdr:to>
      <xdr:col>13</xdr:col>
      <xdr:colOff>220268</xdr:colOff>
      <xdr:row>30</xdr:row>
      <xdr:rowOff>104115</xdr:rowOff>
    </xdr:to>
    <xdr:sp macro="" textlink="">
      <xdr:nvSpPr>
        <xdr:cNvPr id="197" name="TextBox 196">
          <a:extLst>
            <a:ext uri="{FF2B5EF4-FFF2-40B4-BE49-F238E27FC236}">
              <a16:creationId xmlns:a16="http://schemas.microsoft.com/office/drawing/2014/main" id="{62859695-52E2-4F56-8B61-5F660636387A}"/>
            </a:ext>
          </a:extLst>
        </xdr:cNvPr>
        <xdr:cNvSpPr txBox="1"/>
      </xdr:nvSpPr>
      <xdr:spPr>
        <a:xfrm>
          <a:off x="7505700" y="4914900"/>
          <a:ext cx="676400" cy="751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en-IN" sz="1200">
            <a:solidFill>
              <a:schemeClr val="bg1"/>
            </a:solidFill>
            <a:latin typeface="+mn-lt"/>
            <a:ea typeface="+mn-ea"/>
            <a:cs typeface="+mn-cs"/>
          </a:endParaRPr>
        </a:p>
      </xdr:txBody>
    </xdr:sp>
    <xdr:clientData/>
  </xdr:twoCellAnchor>
  <xdr:twoCellAnchor>
    <xdr:from>
      <xdr:col>8</xdr:col>
      <xdr:colOff>342901</xdr:colOff>
      <xdr:row>6</xdr:row>
      <xdr:rowOff>106822</xdr:rowOff>
    </xdr:from>
    <xdr:to>
      <xdr:col>10</xdr:col>
      <xdr:colOff>327589</xdr:colOff>
      <xdr:row>8</xdr:row>
      <xdr:rowOff>106822</xdr:rowOff>
    </xdr:to>
    <xdr:sp macro="" textlink="">
      <xdr:nvSpPr>
        <xdr:cNvPr id="201" name="TextBox 200">
          <a:extLst>
            <a:ext uri="{FF2B5EF4-FFF2-40B4-BE49-F238E27FC236}">
              <a16:creationId xmlns:a16="http://schemas.microsoft.com/office/drawing/2014/main" id="{DDE27584-0863-4EF5-A787-DBE3BF2EF1FE}"/>
            </a:ext>
          </a:extLst>
        </xdr:cNvPr>
        <xdr:cNvSpPr txBox="1"/>
      </xdr:nvSpPr>
      <xdr:spPr>
        <a:xfrm>
          <a:off x="5242490" y="1217775"/>
          <a:ext cx="1209585" cy="370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rgbClr val="FFC000"/>
              </a:solidFill>
              <a:latin typeface="+mn-lt"/>
              <a:ea typeface="+mn-ea"/>
              <a:cs typeface="+mn-cs"/>
            </a:rPr>
            <a:t>Leaves</a:t>
          </a:r>
          <a:r>
            <a:rPr lang="en-IN" sz="1200" b="1" baseline="0">
              <a:solidFill>
                <a:srgbClr val="FFC000"/>
              </a:solidFill>
              <a:latin typeface="+mn-lt"/>
              <a:ea typeface="+mn-ea"/>
              <a:cs typeface="+mn-cs"/>
            </a:rPr>
            <a:t> Tracked</a:t>
          </a:r>
          <a:endParaRPr lang="en-IN" sz="1200" b="1">
            <a:solidFill>
              <a:srgbClr val="FFC000"/>
            </a:solidFill>
            <a:latin typeface="+mn-lt"/>
            <a:ea typeface="+mn-ea"/>
            <a:cs typeface="+mn-cs"/>
          </a:endParaRPr>
        </a:p>
      </xdr:txBody>
    </xdr:sp>
    <xdr:clientData/>
  </xdr:twoCellAnchor>
  <xdr:twoCellAnchor>
    <xdr:from>
      <xdr:col>8</xdr:col>
      <xdr:colOff>170234</xdr:colOff>
      <xdr:row>7</xdr:row>
      <xdr:rowOff>107049</xdr:rowOff>
    </xdr:from>
    <xdr:to>
      <xdr:col>12</xdr:col>
      <xdr:colOff>170234</xdr:colOff>
      <xdr:row>9</xdr:row>
      <xdr:rowOff>99928</xdr:rowOff>
    </xdr:to>
    <xdr:sp macro="" textlink="">
      <xdr:nvSpPr>
        <xdr:cNvPr id="202" name="TextBox 201">
          <a:extLst>
            <a:ext uri="{FF2B5EF4-FFF2-40B4-BE49-F238E27FC236}">
              <a16:creationId xmlns:a16="http://schemas.microsoft.com/office/drawing/2014/main" id="{4F303B61-0897-49D5-9098-29A12C0F870A}"/>
            </a:ext>
          </a:extLst>
        </xdr:cNvPr>
        <xdr:cNvSpPr txBox="1"/>
      </xdr:nvSpPr>
      <xdr:spPr>
        <a:xfrm>
          <a:off x="5034064" y="1412177"/>
          <a:ext cx="2431915" cy="373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baseline="0">
              <a:solidFill>
                <a:schemeClr val="bg2">
                  <a:lumMod val="50000"/>
                </a:schemeClr>
              </a:solidFill>
              <a:latin typeface="+mn-lt"/>
              <a:ea typeface="+mn-ea"/>
              <a:cs typeface="+mn-cs"/>
            </a:rPr>
            <a:t>Leave taken by job tittles</a:t>
          </a:r>
          <a:endParaRPr lang="en-IN" sz="1100" b="0">
            <a:solidFill>
              <a:schemeClr val="bg2">
                <a:lumMod val="50000"/>
              </a:schemeClr>
            </a:solidFill>
            <a:latin typeface="+mn-lt"/>
            <a:ea typeface="+mn-ea"/>
            <a:cs typeface="+mn-cs"/>
          </a:endParaRPr>
        </a:p>
      </xdr:txBody>
    </xdr:sp>
    <xdr:clientData/>
  </xdr:twoCellAnchor>
  <xdr:twoCellAnchor>
    <xdr:from>
      <xdr:col>12</xdr:col>
      <xdr:colOff>270618</xdr:colOff>
      <xdr:row>12</xdr:row>
      <xdr:rowOff>185158</xdr:rowOff>
    </xdr:from>
    <xdr:to>
      <xdr:col>17</xdr:col>
      <xdr:colOff>0</xdr:colOff>
      <xdr:row>18</xdr:row>
      <xdr:rowOff>185158</xdr:rowOff>
    </xdr:to>
    <xdr:graphicFrame macro="">
      <xdr:nvGraphicFramePr>
        <xdr:cNvPr id="204" name="Chart 203">
          <a:extLst>
            <a:ext uri="{FF2B5EF4-FFF2-40B4-BE49-F238E27FC236}">
              <a16:creationId xmlns:a16="http://schemas.microsoft.com/office/drawing/2014/main" id="{2086E5AC-7C35-4B08-A0A2-A722053A6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413047</xdr:colOff>
      <xdr:row>10</xdr:row>
      <xdr:rowOff>0</xdr:rowOff>
    </xdr:from>
    <xdr:to>
      <xdr:col>15</xdr:col>
      <xdr:colOff>291981</xdr:colOff>
      <xdr:row>12</xdr:row>
      <xdr:rowOff>0</xdr:rowOff>
    </xdr:to>
    <xdr:sp macro="" textlink="">
      <xdr:nvSpPr>
        <xdr:cNvPr id="206" name="TextBox 205">
          <a:extLst>
            <a:ext uri="{FF2B5EF4-FFF2-40B4-BE49-F238E27FC236}">
              <a16:creationId xmlns:a16="http://schemas.microsoft.com/office/drawing/2014/main" id="{1488C73C-EA44-41DC-A798-0D066C561B43}"/>
            </a:ext>
          </a:extLst>
        </xdr:cNvPr>
        <xdr:cNvSpPr txBox="1"/>
      </xdr:nvSpPr>
      <xdr:spPr>
        <a:xfrm>
          <a:off x="7762430" y="1858710"/>
          <a:ext cx="1716280" cy="370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rgbClr val="FFC000"/>
              </a:solidFill>
              <a:latin typeface="+mn-lt"/>
              <a:ea typeface="+mn-ea"/>
              <a:cs typeface="+mn-cs"/>
            </a:rPr>
            <a:t>Region</a:t>
          </a:r>
        </a:p>
      </xdr:txBody>
    </xdr:sp>
    <xdr:clientData/>
  </xdr:twoCellAnchor>
  <xdr:twoCellAnchor>
    <xdr:from>
      <xdr:col>12</xdr:col>
      <xdr:colOff>295240</xdr:colOff>
      <xdr:row>11</xdr:row>
      <xdr:rowOff>0</xdr:rowOff>
    </xdr:from>
    <xdr:to>
      <xdr:col>16</xdr:col>
      <xdr:colOff>530249</xdr:colOff>
      <xdr:row>13</xdr:row>
      <xdr:rowOff>0</xdr:rowOff>
    </xdr:to>
    <xdr:sp macro="" textlink="">
      <xdr:nvSpPr>
        <xdr:cNvPr id="207" name="TextBox 206">
          <a:extLst>
            <a:ext uri="{FF2B5EF4-FFF2-40B4-BE49-F238E27FC236}">
              <a16:creationId xmlns:a16="http://schemas.microsoft.com/office/drawing/2014/main" id="{1CEEEDE8-EA80-4A05-A8E9-FB0FA484E099}"/>
            </a:ext>
          </a:extLst>
        </xdr:cNvPr>
        <xdr:cNvSpPr txBox="1"/>
      </xdr:nvSpPr>
      <xdr:spPr>
        <a:xfrm>
          <a:off x="7590985" y="2059021"/>
          <a:ext cx="2666924" cy="372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a:solidFill>
                <a:schemeClr val="bg2">
                  <a:lumMod val="50000"/>
                </a:schemeClr>
              </a:solidFill>
              <a:latin typeface="+mn-lt"/>
              <a:ea typeface="+mn-ea"/>
              <a:cs typeface="+mn-cs"/>
            </a:rPr>
            <a:t>Employees</a:t>
          </a:r>
          <a:r>
            <a:rPr lang="en-IN" sz="1100" b="0" baseline="0">
              <a:solidFill>
                <a:schemeClr val="bg2">
                  <a:lumMod val="50000"/>
                </a:schemeClr>
              </a:solidFill>
              <a:latin typeface="+mn-lt"/>
              <a:ea typeface="+mn-ea"/>
              <a:cs typeface="+mn-cs"/>
            </a:rPr>
            <a:t> per Region</a:t>
          </a:r>
          <a:endParaRPr lang="en-IN" sz="1100" b="0">
            <a:solidFill>
              <a:schemeClr val="bg2">
                <a:lumMod val="50000"/>
              </a:schemeClr>
            </a:solidFill>
            <a:latin typeface="+mn-lt"/>
            <a:ea typeface="+mn-ea"/>
            <a:cs typeface="+mn-cs"/>
          </a:endParaRPr>
        </a:p>
      </xdr:txBody>
    </xdr:sp>
    <xdr:clientData/>
  </xdr:twoCellAnchor>
  <xdr:twoCellAnchor>
    <xdr:from>
      <xdr:col>12</xdr:col>
      <xdr:colOff>299103</xdr:colOff>
      <xdr:row>5</xdr:row>
      <xdr:rowOff>21364</xdr:rowOff>
    </xdr:from>
    <xdr:to>
      <xdr:col>13</xdr:col>
      <xdr:colOff>555476</xdr:colOff>
      <xdr:row>8</xdr:row>
      <xdr:rowOff>163794</xdr:rowOff>
    </xdr:to>
    <xdr:sp macro="" textlink="'pivot table'!AD16">
      <xdr:nvSpPr>
        <xdr:cNvPr id="208" name="TextBox 207">
          <a:extLst>
            <a:ext uri="{FF2B5EF4-FFF2-40B4-BE49-F238E27FC236}">
              <a16:creationId xmlns:a16="http://schemas.microsoft.com/office/drawing/2014/main" id="{E7160190-A3CB-4C4C-A3CA-91BC18378A49}"/>
            </a:ext>
          </a:extLst>
        </xdr:cNvPr>
        <xdr:cNvSpPr txBox="1"/>
      </xdr:nvSpPr>
      <xdr:spPr>
        <a:xfrm>
          <a:off x="7648486" y="947158"/>
          <a:ext cx="868822" cy="697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5E531AC-0E1E-4A90-8D96-FBA30278836A}" type="TxLink">
            <a:rPr lang="en-US" sz="3200" b="1" baseline="0">
              <a:solidFill>
                <a:schemeClr val="bg1"/>
              </a:solidFill>
              <a:latin typeface="+mn-lt"/>
              <a:ea typeface="+mn-ea"/>
              <a:cs typeface="+mn-cs"/>
            </a:rPr>
            <a:pPr marL="0" indent="0"/>
            <a:t>2.6</a:t>
          </a:fld>
          <a:endParaRPr lang="en-IN" sz="3200" b="1" baseline="0">
            <a:solidFill>
              <a:schemeClr val="bg1"/>
            </a:solidFill>
            <a:latin typeface="+mn-lt"/>
            <a:ea typeface="+mn-ea"/>
            <a:cs typeface="+mn-cs"/>
          </a:endParaRPr>
        </a:p>
      </xdr:txBody>
    </xdr:sp>
    <xdr:clientData/>
  </xdr:twoCellAnchor>
  <xdr:twoCellAnchor>
    <xdr:from>
      <xdr:col>12</xdr:col>
      <xdr:colOff>192280</xdr:colOff>
      <xdr:row>7</xdr:row>
      <xdr:rowOff>98561</xdr:rowOff>
    </xdr:from>
    <xdr:to>
      <xdr:col>14</xdr:col>
      <xdr:colOff>505626</xdr:colOff>
      <xdr:row>9</xdr:row>
      <xdr:rowOff>0</xdr:rowOff>
    </xdr:to>
    <xdr:sp macro="" textlink="">
      <xdr:nvSpPr>
        <xdr:cNvPr id="209" name="TextBox 208">
          <a:extLst>
            <a:ext uri="{FF2B5EF4-FFF2-40B4-BE49-F238E27FC236}">
              <a16:creationId xmlns:a16="http://schemas.microsoft.com/office/drawing/2014/main" id="{47D28A4E-6828-4D4D-B072-39321AD31EED}"/>
            </a:ext>
          </a:extLst>
        </xdr:cNvPr>
        <xdr:cNvSpPr txBox="1"/>
      </xdr:nvSpPr>
      <xdr:spPr>
        <a:xfrm>
          <a:off x="7541663" y="1394673"/>
          <a:ext cx="1538243" cy="278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0" baseline="0">
              <a:solidFill>
                <a:schemeClr val="bg1"/>
              </a:solidFill>
              <a:latin typeface="+mn-lt"/>
              <a:ea typeface="+mn-ea"/>
              <a:cs typeface="+mn-cs"/>
            </a:rPr>
            <a:t>Average Rating</a:t>
          </a:r>
        </a:p>
      </xdr:txBody>
    </xdr:sp>
    <xdr:clientData/>
  </xdr:twoCellAnchor>
  <xdr:twoCellAnchor editAs="oneCell">
    <xdr:from>
      <xdr:col>15</xdr:col>
      <xdr:colOff>0</xdr:colOff>
      <xdr:row>4</xdr:row>
      <xdr:rowOff>1</xdr:rowOff>
    </xdr:from>
    <xdr:to>
      <xdr:col>16</xdr:col>
      <xdr:colOff>420168</xdr:colOff>
      <xdr:row>9</xdr:row>
      <xdr:rowOff>156674</xdr:rowOff>
    </xdr:to>
    <xdr:pic>
      <xdr:nvPicPr>
        <xdr:cNvPr id="210" name="Picture 209">
          <a:extLst>
            <a:ext uri="{FF2B5EF4-FFF2-40B4-BE49-F238E27FC236}">
              <a16:creationId xmlns:a16="http://schemas.microsoft.com/office/drawing/2014/main" id="{649635B4-9A04-967A-CA85-DEB99D4E8FE5}"/>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186729" y="740637"/>
          <a:ext cx="1032617" cy="10895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384562</xdr:colOff>
      <xdr:row>3</xdr:row>
      <xdr:rowOff>0</xdr:rowOff>
    </xdr:from>
    <xdr:to>
      <xdr:col>15</xdr:col>
      <xdr:colOff>263496</xdr:colOff>
      <xdr:row>5</xdr:row>
      <xdr:rowOff>1</xdr:rowOff>
    </xdr:to>
    <xdr:sp macro="" textlink="">
      <xdr:nvSpPr>
        <xdr:cNvPr id="211" name="TextBox 210">
          <a:extLst>
            <a:ext uri="{FF2B5EF4-FFF2-40B4-BE49-F238E27FC236}">
              <a16:creationId xmlns:a16="http://schemas.microsoft.com/office/drawing/2014/main" id="{AFE0504A-BD1D-4D36-9858-7592EC34F27F}"/>
            </a:ext>
          </a:extLst>
        </xdr:cNvPr>
        <xdr:cNvSpPr txBox="1"/>
      </xdr:nvSpPr>
      <xdr:spPr>
        <a:xfrm>
          <a:off x="7733945" y="555477"/>
          <a:ext cx="1716280" cy="370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rgbClr val="FFC000"/>
              </a:solidFill>
              <a:latin typeface="+mn-lt"/>
              <a:ea typeface="+mn-ea"/>
              <a:cs typeface="+mn-cs"/>
            </a:rPr>
            <a:t>Performance</a:t>
          </a:r>
          <a:r>
            <a:rPr lang="en-IN" sz="1200" b="1" baseline="0">
              <a:solidFill>
                <a:srgbClr val="FFC000"/>
              </a:solidFill>
              <a:latin typeface="+mn-lt"/>
              <a:ea typeface="+mn-ea"/>
              <a:cs typeface="+mn-cs"/>
            </a:rPr>
            <a:t> Rating</a:t>
          </a:r>
          <a:endParaRPr lang="en-IN" sz="1200" b="1">
            <a:solidFill>
              <a:srgbClr val="FFC000"/>
            </a:solidFill>
            <a:latin typeface="+mn-lt"/>
            <a:ea typeface="+mn-ea"/>
            <a:cs typeface="+mn-cs"/>
          </a:endParaRPr>
        </a:p>
      </xdr:txBody>
    </xdr:sp>
    <xdr:clientData/>
  </xdr:twoCellAnchor>
  <xdr:twoCellAnchor>
    <xdr:from>
      <xdr:col>12</xdr:col>
      <xdr:colOff>299102</xdr:colOff>
      <xdr:row>3</xdr:row>
      <xdr:rowOff>183494</xdr:rowOff>
    </xdr:from>
    <xdr:to>
      <xdr:col>16</xdr:col>
      <xdr:colOff>299102</xdr:colOff>
      <xdr:row>5</xdr:row>
      <xdr:rowOff>183495</xdr:rowOff>
    </xdr:to>
    <xdr:sp macro="" textlink="">
      <xdr:nvSpPr>
        <xdr:cNvPr id="213" name="TextBox 212">
          <a:extLst>
            <a:ext uri="{FF2B5EF4-FFF2-40B4-BE49-F238E27FC236}">
              <a16:creationId xmlns:a16="http://schemas.microsoft.com/office/drawing/2014/main" id="{90FAB207-7C0F-4A59-949A-385B8A9D4262}"/>
            </a:ext>
          </a:extLst>
        </xdr:cNvPr>
        <xdr:cNvSpPr txBox="1"/>
      </xdr:nvSpPr>
      <xdr:spPr>
        <a:xfrm>
          <a:off x="7594847" y="742834"/>
          <a:ext cx="2431915" cy="372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baseline="0">
              <a:solidFill>
                <a:schemeClr val="bg2">
                  <a:lumMod val="50000"/>
                </a:schemeClr>
              </a:solidFill>
              <a:latin typeface="+mn-lt"/>
              <a:ea typeface="+mn-ea"/>
              <a:cs typeface="+mn-cs"/>
            </a:rPr>
            <a:t>Average Performance Rating</a:t>
          </a:r>
          <a:endParaRPr lang="en-IN" sz="1100" b="0">
            <a:solidFill>
              <a:schemeClr val="bg2">
                <a:lumMod val="50000"/>
              </a:schemeClr>
            </a:solidFill>
            <a:latin typeface="+mn-lt"/>
            <a:ea typeface="+mn-ea"/>
            <a:cs typeface="+mn-cs"/>
          </a:endParaRPr>
        </a:p>
      </xdr:txBody>
    </xdr:sp>
    <xdr:clientData/>
  </xdr:twoCellAnchor>
  <xdr:twoCellAnchor>
    <xdr:from>
      <xdr:col>12</xdr:col>
      <xdr:colOff>288290</xdr:colOff>
      <xdr:row>3</xdr:row>
      <xdr:rowOff>73728</xdr:rowOff>
    </xdr:from>
    <xdr:to>
      <xdr:col>12</xdr:col>
      <xdr:colOff>396290</xdr:colOff>
      <xdr:row>3</xdr:row>
      <xdr:rowOff>181728</xdr:rowOff>
    </xdr:to>
    <xdr:sp macro="" textlink="">
      <xdr:nvSpPr>
        <xdr:cNvPr id="215" name="Oval 214">
          <a:extLst>
            <a:ext uri="{FF2B5EF4-FFF2-40B4-BE49-F238E27FC236}">
              <a16:creationId xmlns:a16="http://schemas.microsoft.com/office/drawing/2014/main" id="{BBDB0980-E528-4245-9973-83B08A61A2E5}"/>
            </a:ext>
          </a:extLst>
        </xdr:cNvPr>
        <xdr:cNvSpPr/>
      </xdr:nvSpPr>
      <xdr:spPr>
        <a:xfrm rot="10573973" flipV="1">
          <a:off x="7637673" y="629205"/>
          <a:ext cx="108000" cy="108000"/>
        </a:xfrm>
        <a:prstGeom prst="ellipse">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273131</xdr:colOff>
      <xdr:row>10</xdr:row>
      <xdr:rowOff>87971</xdr:rowOff>
    </xdr:from>
    <xdr:to>
      <xdr:col>12</xdr:col>
      <xdr:colOff>381131</xdr:colOff>
      <xdr:row>11</xdr:row>
      <xdr:rowOff>10812</xdr:rowOff>
    </xdr:to>
    <xdr:sp macro="" textlink="">
      <xdr:nvSpPr>
        <xdr:cNvPr id="216" name="Oval 215">
          <a:extLst>
            <a:ext uri="{FF2B5EF4-FFF2-40B4-BE49-F238E27FC236}">
              <a16:creationId xmlns:a16="http://schemas.microsoft.com/office/drawing/2014/main" id="{BDBFACE9-E696-45EF-B1D9-C615B1678056}"/>
            </a:ext>
          </a:extLst>
        </xdr:cNvPr>
        <xdr:cNvSpPr/>
      </xdr:nvSpPr>
      <xdr:spPr>
        <a:xfrm rot="10573973" flipV="1">
          <a:off x="7622514" y="1946681"/>
          <a:ext cx="108000" cy="108000"/>
        </a:xfrm>
        <a:prstGeom prst="ellipse">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131618</xdr:colOff>
      <xdr:row>20</xdr:row>
      <xdr:rowOff>73729</xdr:rowOff>
    </xdr:from>
    <xdr:to>
      <xdr:col>8</xdr:col>
      <xdr:colOff>239618</xdr:colOff>
      <xdr:row>20</xdr:row>
      <xdr:rowOff>181729</xdr:rowOff>
    </xdr:to>
    <xdr:sp macro="" textlink="">
      <xdr:nvSpPr>
        <xdr:cNvPr id="218" name="Oval 217">
          <a:extLst>
            <a:ext uri="{FF2B5EF4-FFF2-40B4-BE49-F238E27FC236}">
              <a16:creationId xmlns:a16="http://schemas.microsoft.com/office/drawing/2014/main" id="{848C89E3-D299-4B64-B7A7-CB6967C9D0AD}"/>
            </a:ext>
          </a:extLst>
        </xdr:cNvPr>
        <xdr:cNvSpPr/>
      </xdr:nvSpPr>
      <xdr:spPr>
        <a:xfrm rot="10573973" flipV="1">
          <a:off x="5031207" y="3784028"/>
          <a:ext cx="108000" cy="108000"/>
        </a:xfrm>
        <a:prstGeom prst="ellipse">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160103</xdr:colOff>
      <xdr:row>7</xdr:row>
      <xdr:rowOff>3432</xdr:rowOff>
    </xdr:from>
    <xdr:to>
      <xdr:col>8</xdr:col>
      <xdr:colOff>268103</xdr:colOff>
      <xdr:row>7</xdr:row>
      <xdr:rowOff>111432</xdr:rowOff>
    </xdr:to>
    <xdr:sp macro="" textlink="">
      <xdr:nvSpPr>
        <xdr:cNvPr id="219" name="Oval 218">
          <a:extLst>
            <a:ext uri="{FF2B5EF4-FFF2-40B4-BE49-F238E27FC236}">
              <a16:creationId xmlns:a16="http://schemas.microsoft.com/office/drawing/2014/main" id="{AB7F029D-1355-467F-9F31-9C58885A47FA}"/>
            </a:ext>
          </a:extLst>
        </xdr:cNvPr>
        <xdr:cNvSpPr/>
      </xdr:nvSpPr>
      <xdr:spPr>
        <a:xfrm rot="10573973" flipV="1">
          <a:off x="5059692" y="1299544"/>
          <a:ext cx="108000" cy="108000"/>
        </a:xfrm>
        <a:prstGeom prst="ellipse">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525336</xdr:colOff>
      <xdr:row>6</xdr:row>
      <xdr:rowOff>130473</xdr:rowOff>
    </xdr:from>
    <xdr:to>
      <xdr:col>4</xdr:col>
      <xdr:colOff>25357</xdr:colOff>
      <xdr:row>7</xdr:row>
      <xdr:rowOff>52026</xdr:rowOff>
    </xdr:to>
    <xdr:sp macro="" textlink="">
      <xdr:nvSpPr>
        <xdr:cNvPr id="220" name="Oval 219">
          <a:extLst>
            <a:ext uri="{FF2B5EF4-FFF2-40B4-BE49-F238E27FC236}">
              <a16:creationId xmlns:a16="http://schemas.microsoft.com/office/drawing/2014/main" id="{33754B35-1768-41CD-9E91-CD5144605D9E}"/>
            </a:ext>
          </a:extLst>
        </xdr:cNvPr>
        <xdr:cNvSpPr/>
      </xdr:nvSpPr>
      <xdr:spPr>
        <a:xfrm rot="10573973" flipV="1">
          <a:off x="2349272" y="1249154"/>
          <a:ext cx="108000" cy="108000"/>
        </a:xfrm>
        <a:prstGeom prst="ellipse">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501017</xdr:colOff>
      <xdr:row>20</xdr:row>
      <xdr:rowOff>73727</xdr:rowOff>
    </xdr:from>
    <xdr:to>
      <xdr:col>3</xdr:col>
      <xdr:colOff>609017</xdr:colOff>
      <xdr:row>20</xdr:row>
      <xdr:rowOff>181727</xdr:rowOff>
    </xdr:to>
    <xdr:sp macro="" textlink="">
      <xdr:nvSpPr>
        <xdr:cNvPr id="221" name="Oval 220">
          <a:extLst>
            <a:ext uri="{FF2B5EF4-FFF2-40B4-BE49-F238E27FC236}">
              <a16:creationId xmlns:a16="http://schemas.microsoft.com/office/drawing/2014/main" id="{ED628C62-1E96-4871-805F-11EEDC0B2838}"/>
            </a:ext>
          </a:extLst>
        </xdr:cNvPr>
        <xdr:cNvSpPr/>
      </xdr:nvSpPr>
      <xdr:spPr>
        <a:xfrm rot="10573973" flipV="1">
          <a:off x="2338363" y="3784026"/>
          <a:ext cx="108000" cy="108000"/>
        </a:xfrm>
        <a:prstGeom prst="ellipse">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195741</xdr:colOff>
      <xdr:row>22</xdr:row>
      <xdr:rowOff>164988</xdr:rowOff>
    </xdr:from>
    <xdr:to>
      <xdr:col>0</xdr:col>
      <xdr:colOff>339741</xdr:colOff>
      <xdr:row>23</xdr:row>
      <xdr:rowOff>99120</xdr:rowOff>
    </xdr:to>
    <xdr:sp macro="" textlink="">
      <xdr:nvSpPr>
        <xdr:cNvPr id="222" name="Oval 221">
          <a:extLst>
            <a:ext uri="{FF2B5EF4-FFF2-40B4-BE49-F238E27FC236}">
              <a16:creationId xmlns:a16="http://schemas.microsoft.com/office/drawing/2014/main" id="{33E8057A-F9B6-4574-96B4-8BFA501E35E4}"/>
            </a:ext>
          </a:extLst>
        </xdr:cNvPr>
        <xdr:cNvSpPr/>
      </xdr:nvSpPr>
      <xdr:spPr>
        <a:xfrm rot="10573973" flipV="1">
          <a:off x="195741" y="4274924"/>
          <a:ext cx="144000" cy="120579"/>
        </a:xfrm>
        <a:prstGeom prst="ellipse">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21365</xdr:colOff>
      <xdr:row>1</xdr:row>
      <xdr:rowOff>113944</xdr:rowOff>
    </xdr:from>
    <xdr:to>
      <xdr:col>2</xdr:col>
      <xdr:colOff>0</xdr:colOff>
      <xdr:row>5</xdr:row>
      <xdr:rowOff>113944</xdr:rowOff>
    </xdr:to>
    <xdr:pic>
      <xdr:nvPicPr>
        <xdr:cNvPr id="223" name="Picture 222">
          <a:extLst>
            <a:ext uri="{FF2B5EF4-FFF2-40B4-BE49-F238E27FC236}">
              <a16:creationId xmlns:a16="http://schemas.microsoft.com/office/drawing/2014/main" id="{798E6EA4-0D9D-33F8-CB9A-A8CD52086902}"/>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21365" y="299103"/>
          <a:ext cx="1203532" cy="7406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605326</xdr:colOff>
      <xdr:row>1</xdr:row>
      <xdr:rowOff>14244</xdr:rowOff>
    </xdr:from>
    <xdr:to>
      <xdr:col>4</xdr:col>
      <xdr:colOff>0</xdr:colOff>
      <xdr:row>4</xdr:row>
      <xdr:rowOff>14243</xdr:rowOff>
    </xdr:to>
    <xdr:sp macro="" textlink="">
      <xdr:nvSpPr>
        <xdr:cNvPr id="224" name="TextBox 223">
          <a:extLst>
            <a:ext uri="{FF2B5EF4-FFF2-40B4-BE49-F238E27FC236}">
              <a16:creationId xmlns:a16="http://schemas.microsoft.com/office/drawing/2014/main" id="{9A6E5566-7CAB-4B58-897B-20A69C7930B8}"/>
            </a:ext>
          </a:extLst>
        </xdr:cNvPr>
        <xdr:cNvSpPr txBox="1"/>
      </xdr:nvSpPr>
      <xdr:spPr>
        <a:xfrm>
          <a:off x="1217775" y="199403"/>
          <a:ext cx="1232019" cy="555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3200" b="1" baseline="0">
              <a:solidFill>
                <a:srgbClr val="FFC000"/>
              </a:solidFill>
              <a:latin typeface="+mn-lt"/>
              <a:ea typeface="+mn-ea"/>
              <a:cs typeface="+mn-cs"/>
            </a:rPr>
            <a:t>HR</a:t>
          </a:r>
        </a:p>
        <a:p>
          <a:pPr marL="0" indent="0"/>
          <a:endParaRPr lang="en-IN" sz="3200" b="1">
            <a:solidFill>
              <a:srgbClr val="FFC000"/>
            </a:solidFill>
            <a:latin typeface="+mn-lt"/>
            <a:ea typeface="+mn-ea"/>
            <a:cs typeface="+mn-cs"/>
          </a:endParaRPr>
        </a:p>
      </xdr:txBody>
    </xdr:sp>
    <xdr:clientData/>
  </xdr:twoCellAnchor>
  <xdr:twoCellAnchor>
    <xdr:from>
      <xdr:col>1</xdr:col>
      <xdr:colOff>607977</xdr:colOff>
      <xdr:row>3</xdr:row>
      <xdr:rowOff>7122</xdr:rowOff>
    </xdr:from>
    <xdr:to>
      <xdr:col>4</xdr:col>
      <xdr:colOff>194552</xdr:colOff>
      <xdr:row>5</xdr:row>
      <xdr:rowOff>7122</xdr:rowOff>
    </xdr:to>
    <xdr:sp macro="" textlink="">
      <xdr:nvSpPr>
        <xdr:cNvPr id="225" name="TextBox 224">
          <a:extLst>
            <a:ext uri="{FF2B5EF4-FFF2-40B4-BE49-F238E27FC236}">
              <a16:creationId xmlns:a16="http://schemas.microsoft.com/office/drawing/2014/main" id="{EF274D2F-1D66-4D39-BC43-2851B00ADB08}"/>
            </a:ext>
          </a:extLst>
        </xdr:cNvPr>
        <xdr:cNvSpPr txBox="1"/>
      </xdr:nvSpPr>
      <xdr:spPr>
        <a:xfrm>
          <a:off x="1215956" y="566462"/>
          <a:ext cx="1410511" cy="372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b="1" baseline="0">
              <a:solidFill>
                <a:srgbClr val="FFC000"/>
              </a:solidFill>
              <a:latin typeface="+mn-lt"/>
              <a:ea typeface="+mn-ea"/>
              <a:cs typeface="+mn-cs"/>
            </a:rPr>
            <a:t>Dashboard</a:t>
          </a:r>
        </a:p>
      </xdr:txBody>
    </xdr:sp>
    <xdr:clientData/>
  </xdr:twoCellAnchor>
  <xdr:twoCellAnchor>
    <xdr:from>
      <xdr:col>2</xdr:col>
      <xdr:colOff>0</xdr:colOff>
      <xdr:row>4</xdr:row>
      <xdr:rowOff>113943</xdr:rowOff>
    </xdr:from>
    <xdr:to>
      <xdr:col>5</xdr:col>
      <xdr:colOff>612448</xdr:colOff>
      <xdr:row>6</xdr:row>
      <xdr:rowOff>113944</xdr:rowOff>
    </xdr:to>
    <xdr:sp macro="" textlink="">
      <xdr:nvSpPr>
        <xdr:cNvPr id="226" name="TextBox 225">
          <a:extLst>
            <a:ext uri="{FF2B5EF4-FFF2-40B4-BE49-F238E27FC236}">
              <a16:creationId xmlns:a16="http://schemas.microsoft.com/office/drawing/2014/main" id="{390E852A-CE4F-4E03-9B1B-97C6763AA673}"/>
            </a:ext>
          </a:extLst>
        </xdr:cNvPr>
        <xdr:cNvSpPr txBox="1"/>
      </xdr:nvSpPr>
      <xdr:spPr>
        <a:xfrm>
          <a:off x="1224897" y="854579"/>
          <a:ext cx="2449794" cy="370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baseline="0">
              <a:solidFill>
                <a:schemeClr val="bg2">
                  <a:lumMod val="50000"/>
                </a:schemeClr>
              </a:solidFill>
              <a:latin typeface="+mn-lt"/>
              <a:ea typeface="+mn-ea"/>
              <a:cs typeface="+mn-cs"/>
            </a:rPr>
            <a:t>Analzyze and moniter the HR departmnet</a:t>
          </a:r>
          <a:endParaRPr lang="en-IN" sz="1100" b="0">
            <a:solidFill>
              <a:schemeClr val="bg2">
                <a:lumMod val="50000"/>
              </a:schemeClr>
            </a:solidFill>
            <a:latin typeface="+mn-lt"/>
            <a:ea typeface="+mn-ea"/>
            <a:cs typeface="+mn-cs"/>
          </a:endParaRPr>
        </a:p>
      </xdr:txBody>
    </xdr:sp>
    <xdr:clientData/>
  </xdr:twoCellAnchor>
  <xdr:twoCellAnchor editAs="oneCell">
    <xdr:from>
      <xdr:col>4</xdr:col>
      <xdr:colOff>391683</xdr:colOff>
      <xdr:row>1</xdr:row>
      <xdr:rowOff>0</xdr:rowOff>
    </xdr:from>
    <xdr:to>
      <xdr:col>8</xdr:col>
      <xdr:colOff>0</xdr:colOff>
      <xdr:row>5</xdr:row>
      <xdr:rowOff>0</xdr:rowOff>
    </xdr:to>
    <mc:AlternateContent xmlns:mc="http://schemas.openxmlformats.org/markup-compatibility/2006" xmlns:a14="http://schemas.microsoft.com/office/drawing/2010/main">
      <mc:Choice Requires="a14">
        <xdr:graphicFrame macro="">
          <xdr:nvGraphicFramePr>
            <xdr:cNvPr id="227" name="Gender 1">
              <a:extLst>
                <a:ext uri="{FF2B5EF4-FFF2-40B4-BE49-F238E27FC236}">
                  <a16:creationId xmlns:a16="http://schemas.microsoft.com/office/drawing/2014/main" id="{F2B29C53-9B9D-4E48-B7F5-661AC5B9791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823598" y="186447"/>
              <a:ext cx="2040232" cy="7457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64851</xdr:colOff>
      <xdr:row>0</xdr:row>
      <xdr:rowOff>162809</xdr:rowOff>
    </xdr:from>
    <xdr:to>
      <xdr:col>12</xdr:col>
      <xdr:colOff>64851</xdr:colOff>
      <xdr:row>5</xdr:row>
      <xdr:rowOff>162809</xdr:rowOff>
    </xdr:to>
    <mc:AlternateContent xmlns:mc="http://schemas.openxmlformats.org/markup-compatibility/2006">
      <mc:Choice xmlns:a14="http://schemas.microsoft.com/office/drawing/2010/main" Requires="a14">
        <xdr:graphicFrame macro="">
          <xdr:nvGraphicFramePr>
            <xdr:cNvPr id="228" name="Department 1">
              <a:extLst>
                <a:ext uri="{FF2B5EF4-FFF2-40B4-BE49-F238E27FC236}">
                  <a16:creationId xmlns:a16="http://schemas.microsoft.com/office/drawing/2014/main" id="{1E66E5C2-57F5-4AB1-BDF2-D01449566C1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4928681" y="162809"/>
              <a:ext cx="2431915" cy="9322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xdr:row>
      <xdr:rowOff>0</xdr:rowOff>
    </xdr:from>
    <xdr:to>
      <xdr:col>7</xdr:col>
      <xdr:colOff>0</xdr:colOff>
      <xdr:row>3</xdr:row>
      <xdr:rowOff>0</xdr:rowOff>
    </xdr:to>
    <xdr:sp macro="" textlink="">
      <xdr:nvSpPr>
        <xdr:cNvPr id="229" name="TextBox 228">
          <a:extLst>
            <a:ext uri="{FF2B5EF4-FFF2-40B4-BE49-F238E27FC236}">
              <a16:creationId xmlns:a16="http://schemas.microsoft.com/office/drawing/2014/main" id="{67A7C63D-BBAF-44B0-B739-7476695ECC3C}"/>
            </a:ext>
          </a:extLst>
        </xdr:cNvPr>
        <xdr:cNvSpPr txBox="1"/>
      </xdr:nvSpPr>
      <xdr:spPr>
        <a:xfrm>
          <a:off x="3062243" y="185159"/>
          <a:ext cx="1224897" cy="370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chemeClr val="bg1"/>
              </a:solidFill>
              <a:latin typeface="+mn-lt"/>
              <a:ea typeface="+mn-ea"/>
              <a:cs typeface="+mn-cs"/>
            </a:rPr>
            <a:t>Filter</a:t>
          </a:r>
          <a:r>
            <a:rPr lang="en-IN" sz="1200" b="1" baseline="0">
              <a:solidFill>
                <a:schemeClr val="bg1"/>
              </a:solidFill>
              <a:latin typeface="+mn-lt"/>
              <a:ea typeface="+mn-ea"/>
              <a:cs typeface="+mn-cs"/>
            </a:rPr>
            <a:t> by Gender</a:t>
          </a:r>
          <a:endParaRPr lang="en-IN" sz="1200" b="1">
            <a:solidFill>
              <a:schemeClr val="bg1"/>
            </a:solidFill>
            <a:latin typeface="+mn-lt"/>
            <a:ea typeface="+mn-ea"/>
            <a:cs typeface="+mn-cs"/>
          </a:endParaRPr>
        </a:p>
      </xdr:txBody>
    </xdr:sp>
    <xdr:clientData/>
  </xdr:twoCellAnchor>
  <xdr:twoCellAnchor>
    <xdr:from>
      <xdr:col>8</xdr:col>
      <xdr:colOff>121066</xdr:colOff>
      <xdr:row>1</xdr:row>
      <xdr:rowOff>0</xdr:rowOff>
    </xdr:from>
    <xdr:to>
      <xdr:col>11</xdr:col>
      <xdr:colOff>0</xdr:colOff>
      <xdr:row>3</xdr:row>
      <xdr:rowOff>0</xdr:rowOff>
    </xdr:to>
    <xdr:sp macro="" textlink="">
      <xdr:nvSpPr>
        <xdr:cNvPr id="230" name="TextBox 229">
          <a:extLst>
            <a:ext uri="{FF2B5EF4-FFF2-40B4-BE49-F238E27FC236}">
              <a16:creationId xmlns:a16="http://schemas.microsoft.com/office/drawing/2014/main" id="{9088B2EE-32F4-450D-BF1B-7625BBDD6DB5}"/>
            </a:ext>
          </a:extLst>
        </xdr:cNvPr>
        <xdr:cNvSpPr txBox="1"/>
      </xdr:nvSpPr>
      <xdr:spPr>
        <a:xfrm>
          <a:off x="5020655" y="185159"/>
          <a:ext cx="1716280" cy="370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chemeClr val="bg1"/>
              </a:solidFill>
              <a:latin typeface="+mn-lt"/>
              <a:ea typeface="+mn-ea"/>
              <a:cs typeface="+mn-cs"/>
            </a:rPr>
            <a:t>Filter</a:t>
          </a:r>
          <a:r>
            <a:rPr lang="en-IN" sz="1200" b="1" baseline="0">
              <a:solidFill>
                <a:schemeClr val="bg1"/>
              </a:solidFill>
              <a:latin typeface="+mn-lt"/>
              <a:ea typeface="+mn-ea"/>
              <a:cs typeface="+mn-cs"/>
            </a:rPr>
            <a:t> by Department</a:t>
          </a:r>
          <a:endParaRPr lang="en-IN" sz="1200" b="1">
            <a:solidFill>
              <a:schemeClr val="bg1"/>
            </a:solidFill>
            <a:latin typeface="+mn-lt"/>
            <a:ea typeface="+mn-ea"/>
            <a:cs typeface="+mn-cs"/>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0.00205</cdr:y>
    </cdr:from>
    <cdr:to>
      <cdr:x>0.62891</cdr:x>
      <cdr:y>0.5</cdr:y>
    </cdr:to>
    <cdr:sp macro="" textlink="">
      <cdr:nvSpPr>
        <cdr:cNvPr id="2" name="TextBox 89">
          <a:extLst xmlns:a="http://schemas.openxmlformats.org/drawingml/2006/main">
            <a:ext uri="{FF2B5EF4-FFF2-40B4-BE49-F238E27FC236}">
              <a16:creationId xmlns:a16="http://schemas.microsoft.com/office/drawing/2014/main" id="{7ED9F966-033B-4CA1-8B7D-4CDABE3EA186}"/>
            </a:ext>
          </a:extLst>
        </cdr:cNvPr>
        <cdr:cNvSpPr txBox="1"/>
      </cdr:nvSpPr>
      <cdr:spPr>
        <a:xfrm xmlns:a="http://schemas.openxmlformats.org/drawingml/2006/main">
          <a:off x="0" y="1140"/>
          <a:ext cx="1059679" cy="27659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r>
            <a:rPr lang="en-IN" sz="1100" b="0" i="0" u="none" strike="noStrike">
              <a:solidFill>
                <a:schemeClr val="bg1"/>
              </a:solidFill>
              <a:effectLst/>
              <a:latin typeface="+mn-lt"/>
              <a:ea typeface="+mn-ea"/>
              <a:cs typeface="+mn-cs"/>
            </a:rPr>
            <a:t>Remote</a:t>
          </a:r>
          <a:r>
            <a:rPr lang="en-IN" sz="1200">
              <a:solidFill>
                <a:schemeClr val="bg1"/>
              </a:solidFill>
              <a:effectLst/>
            </a:rPr>
            <a:t> </a:t>
          </a:r>
          <a:endParaRPr lang="en-IN" sz="1200" baseline="0">
            <a:solidFill>
              <a:schemeClr val="bg1"/>
            </a:solidFill>
            <a:latin typeface="+mn-lt"/>
            <a:ea typeface="+mn-ea"/>
            <a:cs typeface="+mn-cs"/>
          </a:endParaRP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ooja%20bhatt\Downloads\data%20table.xlsx" TargetMode="External"/><Relationship Id="rId1" Type="http://schemas.openxmlformats.org/officeDocument/2006/relationships/externalLinkPath" Target="data%20ta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pivot table"/>
      <sheetName val="Sheet3"/>
    </sheetNames>
    <sheetDataSet>
      <sheetData sheetId="0"/>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bhatt" refreshedDate="45987.704391435182" createdVersion="8" refreshedVersion="8" minRefreshableVersion="3" recordCount="50" xr:uid="{B6840ECC-BC3B-4424-BB8F-2F5F9D285974}">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ount="49">
        <s v="Lori Nguyen"/>
        <s v="Gary Garcia"/>
        <s v="Jeremy Nguyen"/>
        <s v="Kimberly Jones"/>
        <s v="Anthony Gates"/>
        <s v="Courtney Foster"/>
        <s v="Catherine Hall"/>
        <s v="Deanna Ball"/>
        <s v="Candace Nelson"/>
        <s v="Mandy Davis"/>
        <s v="Matthew Powell"/>
        <s v="Bruce Nelson"/>
        <s v="Dawn Cole"/>
        <s v="Tanner Morse"/>
        <s v="Jose Griffin"/>
        <s v="Daniel Hawkins"/>
        <s v="Elaine Mcclain"/>
        <s v="Thomas Kramer"/>
        <s v="Kevin Whitaker"/>
        <s v="Dustin Carter"/>
        <s v="Nicole Williamson"/>
        <s v="Matthew Knight"/>
        <s v="Donna Jones"/>
        <s v="Carolyn Bullock"/>
        <s v="Wendy Gomez"/>
        <s v="Michael Thomas"/>
        <s v="Kevin Bell"/>
        <s v="Richard Landry"/>
        <s v="George Hurley"/>
        <s v="Mark Lopez"/>
        <s v="Robert Williams"/>
        <s v="Mary Schmidt"/>
        <s v="Mary Martinez"/>
        <s v="Paul Hall"/>
        <s v="Samantha Foster"/>
        <s v="Timothy Aguilar"/>
        <s v="Charles Andrews"/>
        <s v="Veronica Nelson"/>
        <s v="Chris Sanchez"/>
        <s v="Cassie Galvan"/>
        <s v="Jessica Jones"/>
        <s v="Emily Walker"/>
        <s v="Vickie Lewis"/>
        <s v="Alexis Clark"/>
        <s v="Robert Davis"/>
        <s v="Daniel Brown MD"/>
        <s v="Anna Payne"/>
        <s v="Rhonda Pena"/>
        <s v="Nicole Gonzalez"/>
      </sharedItems>
    </cacheField>
    <cacheField name="Gender" numFmtId="0">
      <sharedItems count="2">
        <s v="Female"/>
        <s v="Male"/>
      </sharedItems>
    </cacheField>
    <cacheField name="Age" numFmtId="0">
      <sharedItems containsSemiMixedTypes="0" containsString="0" containsNumber="1" containsInteger="1" minValue="20" maxValue="60" count="27">
        <n v="25"/>
        <n v="27"/>
        <n v="34"/>
        <n v="41"/>
        <n v="56"/>
        <n v="28"/>
        <n v="20"/>
        <n v="58"/>
        <n v="44"/>
        <n v="29"/>
        <n v="23"/>
        <n v="30"/>
        <n v="49"/>
        <n v="60"/>
        <n v="46"/>
        <n v="57"/>
        <n v="24"/>
        <n v="35"/>
        <n v="36"/>
        <n v="31"/>
        <n v="37"/>
        <n v="48"/>
        <n v="45"/>
        <n v="52"/>
        <n v="42"/>
        <n v="21"/>
        <n v="59"/>
      </sharedItems>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7661273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x v="0"/>
    <x v="0"/>
    <x v="0"/>
    <x v="0"/>
    <x v="0"/>
    <x v="0"/>
    <x v="0"/>
    <s v="Luis Reynolds"/>
    <s v="2019-03-15"/>
    <x v="0"/>
    <x v="0"/>
    <n v="53700"/>
    <s v="C"/>
    <n v="1463"/>
    <s v="Health"/>
    <n v="1"/>
    <n v="1"/>
    <s v="Leadership Training"/>
    <x v="0"/>
    <s v="Certified Professional"/>
  </r>
  <r>
    <n v="9116"/>
    <x v="1"/>
    <x v="1"/>
    <x v="1"/>
    <x v="1"/>
    <x v="1"/>
    <x v="1"/>
    <x v="1"/>
    <s v="Ashley Simmons MD"/>
    <s v="2022-12-20"/>
    <x v="0"/>
    <x v="1"/>
    <n v="91091"/>
    <s v="B"/>
    <n v="1024"/>
    <s v="None"/>
    <n v="19"/>
    <n v="4"/>
    <s v="Excel Workshop"/>
    <x v="0"/>
    <s v="Certified Professional"/>
  </r>
  <r>
    <n v="5120"/>
    <x v="2"/>
    <x v="1"/>
    <x v="2"/>
    <x v="1"/>
    <x v="2"/>
    <x v="2"/>
    <x v="2"/>
    <s v="Cassandra Duncan"/>
    <s v="2022-08-10"/>
    <x v="0"/>
    <x v="2"/>
    <n v="57538"/>
    <s v="D"/>
    <n v="1674"/>
    <s v="None"/>
    <n v="8"/>
    <n v="1"/>
    <s v="None"/>
    <x v="1"/>
    <s v="Advanced Training"/>
  </r>
  <r>
    <n v="8071"/>
    <x v="3"/>
    <x v="0"/>
    <x v="3"/>
    <x v="2"/>
    <x v="2"/>
    <x v="0"/>
    <x v="3"/>
    <s v="Janet Harris"/>
    <s v="2024-09-03"/>
    <x v="1"/>
    <x v="0"/>
    <n v="62993"/>
    <s v="A"/>
    <n v="2695"/>
    <s v="Health + Dental"/>
    <n v="0"/>
    <n v="2"/>
    <s v="None"/>
    <x v="2"/>
    <s v="None"/>
  </r>
  <r>
    <n v="9351"/>
    <x v="4"/>
    <x v="1"/>
    <x v="4"/>
    <x v="3"/>
    <x v="0"/>
    <x v="0"/>
    <x v="2"/>
    <s v="Mr. Frank Clay"/>
    <s v="2019-03-14"/>
    <x v="1"/>
    <x v="1"/>
    <n v="45773"/>
    <s v="A"/>
    <n v="8776"/>
    <s v="Health"/>
    <n v="16"/>
    <n v="4"/>
    <s v="Leadership Training"/>
    <x v="2"/>
    <s v="None"/>
  </r>
  <r>
    <n v="2873"/>
    <x v="5"/>
    <x v="0"/>
    <x v="5"/>
    <x v="1"/>
    <x v="2"/>
    <x v="3"/>
    <x v="2"/>
    <s v="Dorothy Price"/>
    <s v="2017-01-23"/>
    <x v="0"/>
    <x v="1"/>
    <n v="96249"/>
    <s v="C"/>
    <n v="4826"/>
    <s v="Health + Dental"/>
    <n v="7"/>
    <n v="3"/>
    <s v="Leadership Training"/>
    <x v="3"/>
    <s v="Certified Professional"/>
  </r>
  <r>
    <n v="3540"/>
    <x v="6"/>
    <x v="0"/>
    <x v="6"/>
    <x v="0"/>
    <x v="1"/>
    <x v="2"/>
    <x v="2"/>
    <s v="Michele Sexton"/>
    <s v="2024-08-17"/>
    <x v="0"/>
    <x v="2"/>
    <n v="61596"/>
    <s v="C"/>
    <n v="8818"/>
    <s v="Health + Dental"/>
    <n v="4"/>
    <n v="2"/>
    <s v="Leadership Training"/>
    <x v="1"/>
    <s v="None"/>
  </r>
  <r>
    <n v="3653"/>
    <x v="7"/>
    <x v="0"/>
    <x v="7"/>
    <x v="3"/>
    <x v="3"/>
    <x v="1"/>
    <x v="4"/>
    <s v="Richard Schmidt"/>
    <s v="2014-12-09"/>
    <x v="0"/>
    <x v="2"/>
    <n v="97869"/>
    <s v="A"/>
    <n v="1966"/>
    <s v="Health"/>
    <n v="10"/>
    <n v="1"/>
    <s v="Leadership Training"/>
    <x v="0"/>
    <s v="Certified Professional"/>
  </r>
  <r>
    <n v="5587"/>
    <x v="8"/>
    <x v="0"/>
    <x v="8"/>
    <x v="2"/>
    <x v="3"/>
    <x v="2"/>
    <x v="2"/>
    <s v="Teresa Pearson"/>
    <s v="2021-06-28"/>
    <x v="0"/>
    <x v="0"/>
    <n v="81235"/>
    <s v="A"/>
    <n v="6553"/>
    <s v="None"/>
    <n v="16"/>
    <n v="2"/>
    <s v="None"/>
    <x v="1"/>
    <s v="Certified Professional"/>
  </r>
  <r>
    <n v="9554"/>
    <x v="9"/>
    <x v="0"/>
    <x v="9"/>
    <x v="1"/>
    <x v="1"/>
    <x v="2"/>
    <x v="3"/>
    <s v="Laura Hart"/>
    <s v="2018-05-20"/>
    <x v="0"/>
    <x v="1"/>
    <n v="87852"/>
    <s v="A"/>
    <n v="4980"/>
    <s v="Health + Dental"/>
    <n v="19"/>
    <n v="3"/>
    <s v="None"/>
    <x v="2"/>
    <s v="Certified Professional"/>
  </r>
  <r>
    <n v="6213"/>
    <x v="10"/>
    <x v="1"/>
    <x v="10"/>
    <x v="0"/>
    <x v="3"/>
    <x v="0"/>
    <x v="2"/>
    <s v="Andrea May"/>
    <s v="2017-02-13"/>
    <x v="1"/>
    <x v="1"/>
    <n v="59359"/>
    <s v="A"/>
    <n v="9449"/>
    <s v="Health + Dental"/>
    <n v="20"/>
    <n v="3"/>
    <s v="None"/>
    <x v="1"/>
    <s v="None"/>
  </r>
  <r>
    <n v="9105"/>
    <x v="11"/>
    <x v="1"/>
    <x v="11"/>
    <x v="1"/>
    <x v="0"/>
    <x v="1"/>
    <x v="0"/>
    <s v="Casey Martin"/>
    <s v="2024-05-05"/>
    <x v="1"/>
    <x v="2"/>
    <n v="81225"/>
    <s v="D"/>
    <n v="6202"/>
    <s v="Health + Dental"/>
    <n v="2"/>
    <n v="2"/>
    <s v="Excel Workshop"/>
    <x v="4"/>
    <s v="Certified Professional"/>
  </r>
  <r>
    <n v="9508"/>
    <x v="12"/>
    <x v="0"/>
    <x v="12"/>
    <x v="4"/>
    <x v="1"/>
    <x v="0"/>
    <x v="0"/>
    <s v="Amber Allen"/>
    <s v="2022-04-19"/>
    <x v="1"/>
    <x v="0"/>
    <n v="32788"/>
    <s v="D"/>
    <n v="4396"/>
    <s v="Health"/>
    <n v="13"/>
    <n v="5"/>
    <s v="None"/>
    <x v="3"/>
    <s v="Advanced Training"/>
  </r>
  <r>
    <n v="2436"/>
    <x v="13"/>
    <x v="1"/>
    <x v="13"/>
    <x v="3"/>
    <x v="4"/>
    <x v="0"/>
    <x v="3"/>
    <s v="Adam Johnson"/>
    <s v="2015-11-16"/>
    <x v="1"/>
    <x v="2"/>
    <n v="70452"/>
    <s v="D"/>
    <n v="9911"/>
    <s v="None"/>
    <n v="2"/>
    <n v="1"/>
    <s v="None"/>
    <x v="3"/>
    <s v="Certified Professional"/>
  </r>
  <r>
    <n v="4441"/>
    <x v="14"/>
    <x v="1"/>
    <x v="14"/>
    <x v="4"/>
    <x v="1"/>
    <x v="3"/>
    <x v="0"/>
    <s v="Nicole Dominguez"/>
    <s v="2023-09-09"/>
    <x v="0"/>
    <x v="1"/>
    <n v="33045"/>
    <s v="B"/>
    <n v="1456"/>
    <s v="None"/>
    <n v="16"/>
    <n v="3"/>
    <s v="Excel Workshop"/>
    <x v="3"/>
    <s v="None"/>
  </r>
  <r>
    <n v="5827"/>
    <x v="15"/>
    <x v="1"/>
    <x v="15"/>
    <x v="3"/>
    <x v="2"/>
    <x v="3"/>
    <x v="1"/>
    <s v="Andrew Best"/>
    <s v="2017-12-12"/>
    <x v="2"/>
    <x v="2"/>
    <n v="96429"/>
    <s v="C"/>
    <n v="4740"/>
    <s v="None"/>
    <n v="8"/>
    <n v="1"/>
    <s v="Excel Workshop"/>
    <x v="2"/>
    <s v="None"/>
  </r>
  <r>
    <n v="5184"/>
    <x v="16"/>
    <x v="0"/>
    <x v="16"/>
    <x v="0"/>
    <x v="1"/>
    <x v="2"/>
    <x v="2"/>
    <s v="Gabrielle Rodriguez"/>
    <s v="2017-03-10"/>
    <x v="2"/>
    <x v="2"/>
    <n v="33183"/>
    <s v="A"/>
    <n v="8114"/>
    <s v="None"/>
    <n v="4"/>
    <n v="2"/>
    <s v="Excel Workshop"/>
    <x v="4"/>
    <s v="Advanced Training"/>
  </r>
  <r>
    <n v="5874"/>
    <x v="3"/>
    <x v="0"/>
    <x v="17"/>
    <x v="1"/>
    <x v="4"/>
    <x v="3"/>
    <x v="0"/>
    <s v="Allison Harvey"/>
    <s v="2019-03-04"/>
    <x v="2"/>
    <x v="0"/>
    <n v="75065"/>
    <s v="C"/>
    <n v="7123"/>
    <s v="None"/>
    <n v="20"/>
    <n v="2"/>
    <s v="None"/>
    <x v="0"/>
    <s v="Advanced Training"/>
  </r>
  <r>
    <n v="9834"/>
    <x v="17"/>
    <x v="1"/>
    <x v="3"/>
    <x v="2"/>
    <x v="1"/>
    <x v="1"/>
    <x v="4"/>
    <s v="Tristan Mejia"/>
    <s v="2022-11-20"/>
    <x v="0"/>
    <x v="2"/>
    <n v="32877"/>
    <s v="C"/>
    <n v="6432"/>
    <s v="Health"/>
    <n v="11"/>
    <n v="1"/>
    <s v="None"/>
    <x v="0"/>
    <s v="None"/>
  </r>
  <r>
    <n v="5096"/>
    <x v="18"/>
    <x v="1"/>
    <x v="18"/>
    <x v="2"/>
    <x v="1"/>
    <x v="4"/>
    <x v="3"/>
    <s v="Mary Welch"/>
    <s v="2021-03-02"/>
    <x v="0"/>
    <x v="1"/>
    <n v="46811"/>
    <s v="D"/>
    <n v="1567"/>
    <s v="None"/>
    <n v="7"/>
    <n v="3"/>
    <s v="Excel Workshop"/>
    <x v="0"/>
    <s v="Advanced Training"/>
  </r>
  <r>
    <n v="2263"/>
    <x v="19"/>
    <x v="1"/>
    <x v="19"/>
    <x v="1"/>
    <x v="3"/>
    <x v="2"/>
    <x v="1"/>
    <s v="Douglas Miles"/>
    <s v="2021-08-01"/>
    <x v="1"/>
    <x v="1"/>
    <n v="87538"/>
    <s v="C"/>
    <n v="3588"/>
    <s v="Health + Dental"/>
    <n v="11"/>
    <n v="5"/>
    <s v="Excel Workshop"/>
    <x v="2"/>
    <s v="None"/>
  </r>
  <r>
    <n v="6505"/>
    <x v="20"/>
    <x v="0"/>
    <x v="5"/>
    <x v="1"/>
    <x v="0"/>
    <x v="1"/>
    <x v="4"/>
    <s v="Jessica Fleming"/>
    <s v="2015-08-14"/>
    <x v="0"/>
    <x v="1"/>
    <n v="73002"/>
    <s v="C"/>
    <n v="6296"/>
    <s v="Health"/>
    <n v="2"/>
    <n v="5"/>
    <s v="Excel Workshop"/>
    <x v="1"/>
    <s v="Certified Professional"/>
  </r>
  <r>
    <n v="8626"/>
    <x v="21"/>
    <x v="1"/>
    <x v="20"/>
    <x v="2"/>
    <x v="3"/>
    <x v="1"/>
    <x v="3"/>
    <s v="Christine Lee"/>
    <s v="2015-10-21"/>
    <x v="2"/>
    <x v="2"/>
    <n v="41653"/>
    <s v="D"/>
    <n v="9236"/>
    <s v="None"/>
    <n v="13"/>
    <n v="1"/>
    <s v="Excel Workshop"/>
    <x v="0"/>
    <s v="None"/>
  </r>
  <r>
    <n v="5979"/>
    <x v="22"/>
    <x v="0"/>
    <x v="19"/>
    <x v="1"/>
    <x v="0"/>
    <x v="0"/>
    <x v="2"/>
    <s v="Mario Smith DVM"/>
    <s v="2015-03-14"/>
    <x v="1"/>
    <x v="1"/>
    <n v="67582"/>
    <s v="A"/>
    <n v="1375"/>
    <s v="Health"/>
    <n v="20"/>
    <n v="3"/>
    <s v="Excel Workshop"/>
    <x v="1"/>
    <s v="None"/>
  </r>
  <r>
    <n v="3104"/>
    <x v="23"/>
    <x v="0"/>
    <x v="10"/>
    <x v="0"/>
    <x v="3"/>
    <x v="1"/>
    <x v="1"/>
    <s v="Joseph Francis"/>
    <s v="2024-05-22"/>
    <x v="2"/>
    <x v="1"/>
    <n v="37351"/>
    <s v="D"/>
    <n v="7858"/>
    <s v="Health + Dental"/>
    <n v="18"/>
    <n v="2"/>
    <s v="Leadership Training"/>
    <x v="1"/>
    <s v="Advanced Training"/>
  </r>
  <r>
    <n v="8967"/>
    <x v="24"/>
    <x v="0"/>
    <x v="21"/>
    <x v="4"/>
    <x v="4"/>
    <x v="2"/>
    <x v="0"/>
    <s v="Sarah Young"/>
    <s v="2017-03-19"/>
    <x v="0"/>
    <x v="1"/>
    <n v="36721"/>
    <s v="B"/>
    <n v="8820"/>
    <s v="Health + Dental"/>
    <n v="0"/>
    <n v="2"/>
    <s v="Excel Workshop"/>
    <x v="1"/>
    <s v="Certified Professional"/>
  </r>
  <r>
    <n v="5087"/>
    <x v="25"/>
    <x v="1"/>
    <x v="5"/>
    <x v="1"/>
    <x v="2"/>
    <x v="4"/>
    <x v="0"/>
    <s v="Aaron Hart"/>
    <s v="2021-09-15"/>
    <x v="1"/>
    <x v="2"/>
    <n v="46326"/>
    <s v="B"/>
    <n v="9189"/>
    <s v="Health + Dental"/>
    <n v="8"/>
    <n v="4"/>
    <s v="Leadership Training"/>
    <x v="3"/>
    <s v="Advanced Training"/>
  </r>
  <r>
    <n v="3358"/>
    <x v="26"/>
    <x v="1"/>
    <x v="11"/>
    <x v="1"/>
    <x v="1"/>
    <x v="3"/>
    <x v="1"/>
    <s v="Brian Boyd"/>
    <s v="2022-05-09"/>
    <x v="0"/>
    <x v="0"/>
    <n v="59007"/>
    <s v="C"/>
    <n v="3380"/>
    <s v="Health"/>
    <n v="17"/>
    <n v="3"/>
    <s v="None"/>
    <x v="4"/>
    <s v="Certified Professional"/>
  </r>
  <r>
    <n v="8256"/>
    <x v="27"/>
    <x v="1"/>
    <x v="14"/>
    <x v="4"/>
    <x v="3"/>
    <x v="0"/>
    <x v="3"/>
    <s v="Steven Krueger"/>
    <s v="2017-06-22"/>
    <x v="0"/>
    <x v="1"/>
    <n v="52020"/>
    <s v="B"/>
    <n v="9585"/>
    <s v="Health + Dental"/>
    <n v="0"/>
    <n v="4"/>
    <s v="Excel Workshop"/>
    <x v="4"/>
    <s v="None"/>
  </r>
  <r>
    <n v="5763"/>
    <x v="28"/>
    <x v="1"/>
    <x v="8"/>
    <x v="2"/>
    <x v="1"/>
    <x v="2"/>
    <x v="1"/>
    <s v="Debra Williams"/>
    <s v="2020-11-28"/>
    <x v="2"/>
    <x v="1"/>
    <n v="98961"/>
    <s v="D"/>
    <n v="2688"/>
    <s v="Health"/>
    <n v="2"/>
    <n v="5"/>
    <s v="Excel Workshop"/>
    <x v="4"/>
    <s v="Certified Professional"/>
  </r>
  <r>
    <n v="6838"/>
    <x v="29"/>
    <x v="1"/>
    <x v="22"/>
    <x v="2"/>
    <x v="2"/>
    <x v="3"/>
    <x v="2"/>
    <s v="Karen Mitchell"/>
    <s v="2015-08-30"/>
    <x v="2"/>
    <x v="1"/>
    <n v="81943"/>
    <s v="C"/>
    <n v="2255"/>
    <s v="Health"/>
    <n v="18"/>
    <n v="2"/>
    <s v="None"/>
    <x v="2"/>
    <s v="Certified Professional"/>
  </r>
  <r>
    <n v="9544"/>
    <x v="30"/>
    <x v="1"/>
    <x v="23"/>
    <x v="4"/>
    <x v="4"/>
    <x v="2"/>
    <x v="1"/>
    <s v="Joseph Sanders"/>
    <s v="2018-10-27"/>
    <x v="2"/>
    <x v="1"/>
    <n v="47627"/>
    <s v="C"/>
    <n v="1221"/>
    <s v="None"/>
    <n v="4"/>
    <n v="3"/>
    <s v="None"/>
    <x v="1"/>
    <s v="None"/>
  </r>
  <r>
    <n v="8012"/>
    <x v="31"/>
    <x v="0"/>
    <x v="23"/>
    <x v="4"/>
    <x v="0"/>
    <x v="0"/>
    <x v="4"/>
    <s v="Shelly George"/>
    <s v="2018-08-26"/>
    <x v="2"/>
    <x v="1"/>
    <n v="56162"/>
    <s v="D"/>
    <n v="6560"/>
    <s v="Health + Dental"/>
    <n v="9"/>
    <n v="4"/>
    <s v="Excel Workshop"/>
    <x v="3"/>
    <s v="None"/>
  </r>
  <r>
    <n v="9374"/>
    <x v="32"/>
    <x v="0"/>
    <x v="24"/>
    <x v="2"/>
    <x v="1"/>
    <x v="2"/>
    <x v="2"/>
    <s v="Nicole Houston"/>
    <s v="2023-07-24"/>
    <x v="1"/>
    <x v="2"/>
    <n v="95734"/>
    <s v="C"/>
    <n v="4854"/>
    <s v="Health"/>
    <n v="13"/>
    <n v="2"/>
    <s v="Leadership Training"/>
    <x v="0"/>
    <s v="Certified Professional"/>
  </r>
  <r>
    <n v="3487"/>
    <x v="33"/>
    <x v="1"/>
    <x v="7"/>
    <x v="3"/>
    <x v="1"/>
    <x v="1"/>
    <x v="3"/>
    <s v="Kristin Shaffer"/>
    <s v="2018-07-09"/>
    <x v="1"/>
    <x v="2"/>
    <n v="74789"/>
    <s v="C"/>
    <n v="8101"/>
    <s v="Health + Dental"/>
    <n v="14"/>
    <n v="5"/>
    <s v="Excel Workshop"/>
    <x v="2"/>
    <s v="None"/>
  </r>
  <r>
    <n v="8445"/>
    <x v="34"/>
    <x v="0"/>
    <x v="16"/>
    <x v="0"/>
    <x v="4"/>
    <x v="0"/>
    <x v="3"/>
    <s v="Joel Aguilar"/>
    <s v="2016-12-21"/>
    <x v="0"/>
    <x v="2"/>
    <n v="30137"/>
    <s v="B"/>
    <n v="4031"/>
    <s v="None"/>
    <n v="5"/>
    <n v="3"/>
    <s v="None"/>
    <x v="1"/>
    <s v="Certified Professional"/>
  </r>
  <r>
    <n v="1550"/>
    <x v="35"/>
    <x v="1"/>
    <x v="25"/>
    <x v="0"/>
    <x v="1"/>
    <x v="0"/>
    <x v="0"/>
    <s v="Michael Wade"/>
    <s v="2019-06-27"/>
    <x v="0"/>
    <x v="2"/>
    <n v="95510"/>
    <s v="C"/>
    <n v="6811"/>
    <s v="Health"/>
    <n v="18"/>
    <n v="4"/>
    <s v="Excel Workshop"/>
    <x v="4"/>
    <s v="Certified Professional"/>
  </r>
  <r>
    <n v="9968"/>
    <x v="36"/>
    <x v="1"/>
    <x v="7"/>
    <x v="3"/>
    <x v="1"/>
    <x v="3"/>
    <x v="0"/>
    <s v="Jessica Walsh"/>
    <s v="2021-08-27"/>
    <x v="1"/>
    <x v="0"/>
    <n v="80325"/>
    <s v="B"/>
    <n v="6230"/>
    <s v="Health"/>
    <n v="5"/>
    <n v="4"/>
    <s v="None"/>
    <x v="2"/>
    <s v="Advanced Training"/>
  </r>
  <r>
    <n v="8029"/>
    <x v="37"/>
    <x v="0"/>
    <x v="15"/>
    <x v="3"/>
    <x v="3"/>
    <x v="4"/>
    <x v="4"/>
    <s v="Kelly Mack"/>
    <s v="2017-05-28"/>
    <x v="2"/>
    <x v="1"/>
    <n v="34109"/>
    <s v="B"/>
    <n v="9232"/>
    <s v="Health"/>
    <n v="13"/>
    <n v="3"/>
    <s v="Leadership Training"/>
    <x v="0"/>
    <s v="Certified Professional"/>
  </r>
  <r>
    <n v="8847"/>
    <x v="38"/>
    <x v="1"/>
    <x v="3"/>
    <x v="2"/>
    <x v="3"/>
    <x v="3"/>
    <x v="0"/>
    <s v="John Conley"/>
    <s v="2022-01-30"/>
    <x v="2"/>
    <x v="2"/>
    <n v="73330"/>
    <s v="C"/>
    <n v="2276"/>
    <s v="Health + Dental"/>
    <n v="5"/>
    <n v="1"/>
    <s v="None"/>
    <x v="1"/>
    <s v="Advanced Training"/>
  </r>
  <r>
    <n v="1955"/>
    <x v="39"/>
    <x v="0"/>
    <x v="7"/>
    <x v="3"/>
    <x v="2"/>
    <x v="2"/>
    <x v="1"/>
    <s v="Aaron Baker"/>
    <s v="2017-04-20"/>
    <x v="1"/>
    <x v="2"/>
    <n v="46567"/>
    <s v="A"/>
    <n v="2825"/>
    <s v="Health"/>
    <n v="15"/>
    <n v="3"/>
    <s v="None"/>
    <x v="4"/>
    <s v="Advanced Training"/>
  </r>
  <r>
    <n v="4522"/>
    <x v="40"/>
    <x v="0"/>
    <x v="18"/>
    <x v="2"/>
    <x v="0"/>
    <x v="4"/>
    <x v="0"/>
    <s v="Christopher Bass"/>
    <s v="2019-07-22"/>
    <x v="1"/>
    <x v="1"/>
    <n v="39795"/>
    <s v="A"/>
    <n v="1670"/>
    <s v="None"/>
    <n v="0"/>
    <n v="2"/>
    <s v="Excel Workshop"/>
    <x v="3"/>
    <s v="None"/>
  </r>
  <r>
    <n v="3078"/>
    <x v="41"/>
    <x v="0"/>
    <x v="25"/>
    <x v="0"/>
    <x v="0"/>
    <x v="0"/>
    <x v="4"/>
    <s v="Sean Tucker PhD"/>
    <s v="2018-11-29"/>
    <x v="1"/>
    <x v="2"/>
    <n v="59506"/>
    <s v="A"/>
    <n v="4428"/>
    <s v="Health + Dental"/>
    <n v="0"/>
    <n v="1"/>
    <s v="None"/>
    <x v="3"/>
    <s v="Certified Professional"/>
  </r>
  <r>
    <n v="6357"/>
    <x v="42"/>
    <x v="0"/>
    <x v="14"/>
    <x v="4"/>
    <x v="2"/>
    <x v="1"/>
    <x v="4"/>
    <s v="Jacob Scott"/>
    <s v="2022-11-14"/>
    <x v="1"/>
    <x v="2"/>
    <n v="49058"/>
    <s v="B"/>
    <n v="4396"/>
    <s v="None"/>
    <n v="5"/>
    <n v="1"/>
    <s v="None"/>
    <x v="3"/>
    <s v="None"/>
  </r>
  <r>
    <n v="7951"/>
    <x v="43"/>
    <x v="0"/>
    <x v="18"/>
    <x v="2"/>
    <x v="3"/>
    <x v="2"/>
    <x v="4"/>
    <s v="Joel Park"/>
    <s v="2016-02-23"/>
    <x v="1"/>
    <x v="0"/>
    <n v="98612"/>
    <s v="A"/>
    <n v="1168"/>
    <s v="None"/>
    <n v="9"/>
    <n v="2"/>
    <s v="Excel Workshop"/>
    <x v="0"/>
    <s v="Certified Professional"/>
  </r>
  <r>
    <n v="9228"/>
    <x v="44"/>
    <x v="1"/>
    <x v="3"/>
    <x v="2"/>
    <x v="4"/>
    <x v="3"/>
    <x v="1"/>
    <s v="Russell Marshall"/>
    <s v="2018-05-18"/>
    <x v="2"/>
    <x v="1"/>
    <n v="38201"/>
    <s v="A"/>
    <n v="7111"/>
    <s v="Health"/>
    <n v="8"/>
    <n v="4"/>
    <s v="Leadership Training"/>
    <x v="3"/>
    <s v="None"/>
  </r>
  <r>
    <n v="8988"/>
    <x v="45"/>
    <x v="1"/>
    <x v="0"/>
    <x v="0"/>
    <x v="0"/>
    <x v="2"/>
    <x v="2"/>
    <s v="James Holden"/>
    <s v="2024-03-09"/>
    <x v="2"/>
    <x v="1"/>
    <n v="92919"/>
    <s v="D"/>
    <n v="9497"/>
    <s v="Health"/>
    <n v="7"/>
    <n v="2"/>
    <s v="None"/>
    <x v="3"/>
    <s v="Advanced Training"/>
  </r>
  <r>
    <n v="1952"/>
    <x v="46"/>
    <x v="0"/>
    <x v="9"/>
    <x v="1"/>
    <x v="4"/>
    <x v="0"/>
    <x v="1"/>
    <s v="Thomas Murphy"/>
    <s v="2024-03-27"/>
    <x v="0"/>
    <x v="2"/>
    <n v="45188"/>
    <s v="A"/>
    <n v="9591"/>
    <s v="Health + Dental"/>
    <n v="18"/>
    <n v="3"/>
    <s v="Leadership Training"/>
    <x v="3"/>
    <s v="None"/>
  </r>
  <r>
    <n v="5760"/>
    <x v="47"/>
    <x v="0"/>
    <x v="26"/>
    <x v="3"/>
    <x v="2"/>
    <x v="1"/>
    <x v="0"/>
    <s v="Mark Abbott"/>
    <s v="2019-12-23"/>
    <x v="0"/>
    <x v="1"/>
    <n v="34927"/>
    <s v="D"/>
    <n v="6996"/>
    <s v="Health + Dental"/>
    <n v="16"/>
    <n v="1"/>
    <s v="Excel Workshop"/>
    <x v="0"/>
    <s v="Certified Professional"/>
  </r>
  <r>
    <n v="5742"/>
    <x v="48"/>
    <x v="0"/>
    <x v="1"/>
    <x v="1"/>
    <x v="0"/>
    <x v="2"/>
    <x v="3"/>
    <s v="Robin Lynch"/>
    <s v="2016-08-25"/>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18CDE8-DFBE-41CD-A27F-A9D7BFE2CB8F}" name="employment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CAFF37-290F-4FFF-9805-90D38D4C2283}" name="skill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U3:V9" firstHeaderRow="1" firstDataRow="1"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x="0"/>
        <item x="1"/>
        <item t="default"/>
      </items>
    </pivotField>
    <pivotField showAll="0">
      <items count="28">
        <item x="6"/>
        <item x="25"/>
        <item x="10"/>
        <item x="16"/>
        <item x="0"/>
        <item x="1"/>
        <item x="5"/>
        <item x="9"/>
        <item x="11"/>
        <item x="19"/>
        <item x="2"/>
        <item x="17"/>
        <item x="18"/>
        <item x="20"/>
        <item x="3"/>
        <item x="24"/>
        <item x="8"/>
        <item x="22"/>
        <item x="14"/>
        <item x="21"/>
        <item x="12"/>
        <item x="23"/>
        <item x="4"/>
        <item x="15"/>
        <item x="7"/>
        <item x="26"/>
        <item x="13"/>
        <item t="default"/>
      </items>
    </pivotField>
    <pivotField showAll="0">
      <items count="6">
        <item x="0"/>
        <item x="1"/>
        <item x="2"/>
        <item x="4"/>
        <item x="3"/>
        <item t="default"/>
      </items>
    </pivotField>
    <pivotField showAll="0"/>
    <pivotField showAll="0">
      <items count="6">
        <item x="4"/>
        <item x="1"/>
        <item x="3"/>
        <item x="2"/>
        <item x="0"/>
        <item t="default"/>
      </items>
    </pivotField>
    <pivotField showAll="0">
      <items count="6">
        <item x="0"/>
        <item x="1"/>
        <item x="4"/>
        <item x="2"/>
        <item x="3"/>
        <item t="default"/>
      </items>
    </pivotField>
    <pivotField showAll="0"/>
    <pivotField showAll="0"/>
    <pivotField showAll="0">
      <items count="4">
        <item x="1"/>
        <item x="0"/>
        <item x="2"/>
        <item t="default"/>
      </items>
    </pivotField>
    <pivotField showAll="0">
      <items count="4">
        <item x="1"/>
        <item x="0"/>
        <item x="2"/>
        <item t="default"/>
      </items>
    </pivotField>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3F313A-B285-4442-9400-71CB44932B4A}" name="work pla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3:Q7" firstHeaderRow="1" firstDataRow="1"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x="0"/>
        <item x="1"/>
        <item t="default"/>
      </items>
    </pivotField>
    <pivotField showAll="0">
      <items count="28">
        <item x="6"/>
        <item x="25"/>
        <item x="10"/>
        <item x="16"/>
        <item x="0"/>
        <item x="1"/>
        <item x="5"/>
        <item x="9"/>
        <item x="11"/>
        <item x="19"/>
        <item x="2"/>
        <item x="17"/>
        <item x="18"/>
        <item x="20"/>
        <item x="3"/>
        <item x="24"/>
        <item x="8"/>
        <item x="22"/>
        <item x="14"/>
        <item x="21"/>
        <item x="12"/>
        <item x="23"/>
        <item x="4"/>
        <item x="15"/>
        <item x="7"/>
        <item x="26"/>
        <item x="13"/>
        <item t="default"/>
      </items>
    </pivotField>
    <pivotField showAll="0">
      <items count="6">
        <item x="0"/>
        <item x="1"/>
        <item x="2"/>
        <item x="4"/>
        <item x="3"/>
        <item t="default"/>
      </items>
    </pivotField>
    <pivotField showAll="0"/>
    <pivotField showAll="0">
      <items count="6">
        <item x="4"/>
        <item x="1"/>
        <item x="3"/>
        <item x="2"/>
        <item x="0"/>
        <item t="default"/>
      </items>
    </pivotField>
    <pivotField showAll="0">
      <items count="6">
        <item x="0"/>
        <item x="1"/>
        <item x="4"/>
        <item x="2"/>
        <item x="3"/>
        <item t="default"/>
      </items>
    </pivotField>
    <pivotField showAll="0"/>
    <pivotField showAll="0"/>
    <pivotField showAll="0">
      <items count="4">
        <item x="1"/>
        <item x="0"/>
        <item x="2"/>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B4BE19-E5EE-4C4D-93EE-7C0F0EEFDA37}" name="salar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H9" firstHeaderRow="0" firstDataRow="1" firstDataCol="1"/>
  <pivotFields count="21">
    <pivotField showAll="0"/>
    <pivotField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items count="4">
        <item x="1"/>
        <item x="0"/>
        <item x="2"/>
        <item t="default"/>
      </items>
    </pivotField>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F40C7C-AFFF-4399-A4C8-653316CED921}" name="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C3:AD9" firstHeaderRow="1" firstDataRow="1" firstDataCol="1"/>
  <pivotFields count="21">
    <pivotField showAll="0"/>
    <pivotField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x="0"/>
        <item x="1"/>
        <item t="default"/>
      </items>
    </pivotField>
    <pivotField showAll="0">
      <items count="28">
        <item x="6"/>
        <item x="25"/>
        <item x="10"/>
        <item x="16"/>
        <item x="0"/>
        <item x="1"/>
        <item x="5"/>
        <item x="9"/>
        <item x="11"/>
        <item x="19"/>
        <item x="2"/>
        <item x="17"/>
        <item x="18"/>
        <item x="20"/>
        <item x="3"/>
        <item x="24"/>
        <item x="8"/>
        <item x="22"/>
        <item x="14"/>
        <item x="21"/>
        <item x="12"/>
        <item x="23"/>
        <item x="4"/>
        <item x="15"/>
        <item x="7"/>
        <item x="26"/>
        <item x="13"/>
        <item t="default"/>
      </items>
    </pivotField>
    <pivotField showAll="0">
      <items count="6">
        <item x="0"/>
        <item x="1"/>
        <item x="2"/>
        <item x="4"/>
        <item x="3"/>
        <item t="default"/>
      </items>
    </pivotField>
    <pivotField showAll="0">
      <items count="6">
        <item x="1"/>
        <item x="0"/>
        <item x="4"/>
        <item x="3"/>
        <item x="2"/>
        <item t="default"/>
      </items>
    </pivotField>
    <pivotField showAll="0">
      <items count="6">
        <item x="4"/>
        <item x="1"/>
        <item x="3"/>
        <item x="2"/>
        <item x="0"/>
        <item t="default"/>
      </items>
    </pivotField>
    <pivotField axis="axisRow" showAll="0">
      <items count="6">
        <item x="0"/>
        <item x="1"/>
        <item x="4"/>
        <item x="2"/>
        <item x="3"/>
        <item t="default"/>
      </items>
    </pivotField>
    <pivotField showAll="0"/>
    <pivotField showAll="0"/>
    <pivotField showAll="0">
      <items count="4">
        <item x="1"/>
        <item x="0"/>
        <item x="2"/>
        <item t="default"/>
      </items>
    </pivotField>
    <pivotField showAll="0">
      <items count="4">
        <item x="1"/>
        <item x="0"/>
        <item x="2"/>
        <item t="default"/>
      </items>
    </pivotField>
    <pivotField showAll="0"/>
    <pivotField showAll="0"/>
    <pivotField showAll="0"/>
    <pivotField showAll="0"/>
    <pivotField showAll="0"/>
    <pivotField dataField="1" showAll="0"/>
    <pivotField showAll="0"/>
    <pivotField showAll="0">
      <items count="6">
        <item x="3"/>
        <item x="0"/>
        <item x="4"/>
        <item x="1"/>
        <item x="2"/>
        <item t="default"/>
      </items>
    </pivotField>
    <pivotField showAll="0"/>
  </pivotFields>
  <rowFields count="1">
    <field x="7"/>
  </rowFields>
  <rowItems count="6">
    <i>
      <x/>
    </i>
    <i>
      <x v="1"/>
    </i>
    <i>
      <x v="2"/>
    </i>
    <i>
      <x v="3"/>
    </i>
    <i>
      <x v="4"/>
    </i>
    <i t="grand">
      <x/>
    </i>
  </rowItems>
  <colItems count="1">
    <i/>
  </colItems>
  <dataFields count="1">
    <dataField name="Average of Performance Rating" fld="17" subtotal="average" baseField="7" baseItem="0"/>
  </dataFields>
  <formats count="1">
    <format dxfId="2">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EDFDA9-CA1A-431E-A77D-379A73D359DB}"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M10" firstHeaderRow="1" firstDataRow="2"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axis="axisCol" showAll="0">
      <items count="3">
        <item x="0"/>
        <item x="1"/>
        <item t="default"/>
      </items>
    </pivotField>
    <pivotField showAll="0">
      <items count="28">
        <item x="6"/>
        <item x="25"/>
        <item x="10"/>
        <item x="16"/>
        <item x="0"/>
        <item x="1"/>
        <item x="5"/>
        <item x="9"/>
        <item x="11"/>
        <item x="19"/>
        <item x="2"/>
        <item x="17"/>
        <item x="18"/>
        <item x="20"/>
        <item x="3"/>
        <item x="24"/>
        <item x="8"/>
        <item x="22"/>
        <item x="14"/>
        <item x="21"/>
        <item x="12"/>
        <item x="23"/>
        <item x="4"/>
        <item x="15"/>
        <item x="7"/>
        <item x="26"/>
        <item x="13"/>
        <item t="default"/>
      </items>
    </pivotField>
    <pivotField axis="axisRow" showAll="0">
      <items count="6">
        <item x="0"/>
        <item x="1"/>
        <item x="2"/>
        <item x="4"/>
        <item x="3"/>
        <item t="default"/>
      </items>
    </pivotField>
    <pivotField showAll="0"/>
    <pivotField showAll="0">
      <items count="6">
        <item x="4"/>
        <item x="1"/>
        <item x="3"/>
        <item x="2"/>
        <item x="0"/>
        <item t="default"/>
      </items>
    </pivotField>
    <pivotField showAll="0">
      <items count="6">
        <item x="0"/>
        <item x="1"/>
        <item x="4"/>
        <item x="2"/>
        <item x="3"/>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9F9880-F8EF-4627-9206-F5E688B687E0}"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Y3:Z9" firstHeaderRow="1" firstDataRow="1"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x="0"/>
        <item x="1"/>
        <item t="default"/>
      </items>
    </pivotField>
    <pivotField showAll="0">
      <items count="28">
        <item x="6"/>
        <item x="25"/>
        <item x="10"/>
        <item x="16"/>
        <item x="0"/>
        <item x="1"/>
        <item x="5"/>
        <item x="9"/>
        <item x="11"/>
        <item x="19"/>
        <item x="2"/>
        <item x="17"/>
        <item x="18"/>
        <item x="20"/>
        <item x="3"/>
        <item x="24"/>
        <item x="8"/>
        <item x="22"/>
        <item x="14"/>
        <item x="21"/>
        <item x="12"/>
        <item x="23"/>
        <item x="4"/>
        <item x="15"/>
        <item x="7"/>
        <item x="26"/>
        <item x="13"/>
        <item t="default"/>
      </items>
    </pivotField>
    <pivotField showAll="0">
      <items count="6">
        <item x="0"/>
        <item x="1"/>
        <item x="2"/>
        <item x="4"/>
        <item x="3"/>
        <item t="default"/>
      </items>
    </pivotField>
    <pivotField axis="axisRow" showAll="0">
      <items count="6">
        <item x="1"/>
        <item x="0"/>
        <item x="4"/>
        <item x="3"/>
        <item x="2"/>
        <item t="default"/>
      </items>
    </pivotField>
    <pivotField showAll="0">
      <items count="6">
        <item x="4"/>
        <item x="1"/>
        <item x="3"/>
        <item x="2"/>
        <item x="0"/>
        <item t="default"/>
      </items>
    </pivotField>
    <pivotField showAll="0">
      <items count="6">
        <item x="0"/>
        <item x="1"/>
        <item x="4"/>
        <item x="2"/>
        <item x="3"/>
        <item t="default"/>
      </items>
    </pivotField>
    <pivotField showAll="0"/>
    <pivotField showAll="0"/>
    <pivotField showAll="0">
      <items count="4">
        <item x="1"/>
        <item x="0"/>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6">
        <item x="3"/>
        <item x="0"/>
        <item x="4"/>
        <item x="1"/>
        <item x="2"/>
        <item t="default"/>
      </items>
    </pivotField>
    <pivotField showAll="0"/>
  </pivotFields>
  <rowFields count="1">
    <field x="5"/>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3AD6B65-BCFB-454E-9DCA-255D40CE0AFF}" sourceName="Gender">
  <pivotTables>
    <pivotTable tabId="5" name="gender"/>
    <pivotTable tabId="5" name="department"/>
    <pivotTable tabId="5" name="employment status"/>
    <pivotTable tabId="5" name="salaries"/>
    <pivotTable tabId="5" name="skills"/>
    <pivotTable tabId="5" name="work place"/>
  </pivotTables>
  <data>
    <tabular pivotCacheId="76612731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9DE3EE9-B4A1-471A-A065-7E1CF687D189}" sourceName="Department">
  <pivotTables>
    <pivotTable tabId="5" name="gender"/>
    <pivotTable tabId="5" name="department"/>
    <pivotTable tabId="5" name="employment status"/>
    <pivotTable tabId="5" name="salaries"/>
    <pivotTable tabId="5" name="skills"/>
    <pivotTable tabId="5" name="work place"/>
    <pivotTable tabId="5" name="PivotTable32"/>
  </pivotTables>
  <data>
    <tabular pivotCacheId="766127319">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1E5966F-45F9-4A51-AE33-924DF7D77DFF}" cache="Slicer_Gender" caption="Gender" columnCount="2" style="Slicer Style 3" rowHeight="247650"/>
  <slicer name="Department 1" xr10:uid="{0059C15C-E0FF-40BC-8B33-10E7B2DD11EE}" cache="Slicer_Department" caption="Department" columnCount="3" style="Slicer Style 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25" dataDxfId="24">
  <autoFilter ref="A1:U51" xr:uid="{BD7F130C-4931-4EC9-8AE2-A64F6556D3A3}"/>
  <tableColumns count="21">
    <tableColumn id="1" xr3:uid="{6BDBB43D-1DF4-4FF3-9C56-0E3D699A83FC}" name="Employee ID" dataDxfId="23"/>
    <tableColumn id="2" xr3:uid="{363D91B7-21AD-4B4B-86DE-95D24769EAA5}" name="Full Name" dataDxfId="22"/>
    <tableColumn id="3" xr3:uid="{728245EC-9766-45F5-9851-7FEFEFBE2652}" name="Gender" dataDxfId="21"/>
    <tableColumn id="4" xr3:uid="{DD8A90D1-163F-4B0E-A039-9E7A16AFC106}" name="Age" dataDxfId="20"/>
    <tableColumn id="5" xr3:uid="{0672993B-A00D-49AE-84B7-674089468A17}" name="Age range" dataDxfId="19"/>
    <tableColumn id="6" xr3:uid="{B1ADEE80-60F1-4EE3-B3FB-8484EE6C17B3}" name="Region" dataDxfId="18"/>
    <tableColumn id="7" xr3:uid="{8E0A56EE-3456-4513-ADA0-27F6CAA8C17B}" name="Job Title" dataDxfId="17"/>
    <tableColumn id="8" xr3:uid="{0D9D5DB9-01CB-4300-B0CD-256901621ADC}" name="Department" dataDxfId="16"/>
    <tableColumn id="9" xr3:uid="{9EBDAC3F-6A39-4A78-B562-848691EE3AD1}" name="Manager/Supervisor" dataDxfId="15"/>
    <tableColumn id="10" xr3:uid="{AF849F24-150A-4123-B3F8-A46B4D4F7BC6}" name="Date of Hire" dataDxfId="14"/>
    <tableColumn id="11" xr3:uid="{8C57202E-334A-462A-9C44-E5E2468122E4}" name="Employment Status" dataDxfId="13"/>
    <tableColumn id="12" xr3:uid="{8A07812C-245C-4D55-A210-3AE7E0BB84EB}" name="Work Location" dataDxfId="12"/>
    <tableColumn id="13" xr3:uid="{6441036C-01DD-4130-8E4B-DBA441BCB744}" name="Salary" dataDxfId="11"/>
    <tableColumn id="14" xr3:uid="{ADCF531A-A98E-422C-939D-04D58C2423FB}" name="Pay Grade" dataDxfId="10"/>
    <tableColumn id="15" xr3:uid="{DE922695-AE31-4F31-8F89-61E6E7E646AB}" name="Bonus/Allowances" dataDxfId="9"/>
    <tableColumn id="16" xr3:uid="{62F2B816-9954-4A01-AEDC-4C13B3A2A52F}" name="Insurance Details" dataDxfId="8"/>
    <tableColumn id="17" xr3:uid="{6EFEC335-9B75-45D5-B403-A8A9E557BE24}" name="Leave Taken" dataDxfId="7"/>
    <tableColumn id="18" xr3:uid="{9DA1B78E-154E-42E4-A1BC-FE1CF363DCBA}" name="Performance Rating" dataDxfId="6"/>
    <tableColumn id="19" xr3:uid="{7E4B5E79-5639-4E3A-91A1-D1D8767BB705}" name="Training Programs Attended" dataDxfId="5"/>
    <tableColumn id="20" xr3:uid="{2E731344-8C6D-4001-9E36-F16B80500F61}" name="Skills" dataDxfId="4"/>
    <tableColumn id="21" xr3:uid="{9DCE550B-F788-4423-B330-CAB70C041DFC}" name="Certifications" dataDxfId="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workbookViewId="0">
      <selection activeCell="E26" sqref="E26"/>
    </sheetView>
  </sheetViews>
  <sheetFormatPr defaultColWidth="9.109375" defaultRowHeight="13.8"/>
  <cols>
    <col min="1" max="1" width="17.6640625" style="2" bestFit="1" customWidth="1"/>
    <col min="2" max="2" width="18.109375" style="2" bestFit="1" customWidth="1"/>
    <col min="3" max="3" width="12.88671875" style="2" bestFit="1" customWidth="1"/>
    <col min="4" max="4" width="9.5546875" style="2" bestFit="1" customWidth="1"/>
    <col min="5" max="5" width="15.88671875" style="2" bestFit="1" customWidth="1"/>
    <col min="6" max="6" width="12.33203125" style="2" bestFit="1" customWidth="1"/>
    <col min="7" max="7" width="14.109375" style="2" bestFit="1" customWidth="1"/>
    <col min="8" max="8" width="17.44140625" style="2" bestFit="1" customWidth="1"/>
    <col min="9" max="9" width="25.6640625" style="2" bestFit="1" customWidth="1"/>
    <col min="10" max="10" width="18" style="2" bestFit="1" customWidth="1"/>
    <col min="11" max="11" width="25" style="2" bestFit="1" customWidth="1"/>
    <col min="12" max="12" width="20.33203125" style="2" bestFit="1" customWidth="1"/>
    <col min="13" max="13" width="11.88671875" style="2" bestFit="1" customWidth="1"/>
    <col min="14" max="14" width="16.109375" style="2" bestFit="1" customWidth="1"/>
    <col min="15" max="15" width="24" style="2" bestFit="1" customWidth="1"/>
    <col min="16" max="16" width="22.6640625" style="2" bestFit="1" customWidth="1"/>
    <col min="17" max="17" width="18.109375" style="2" bestFit="1" customWidth="1"/>
    <col min="18" max="18" width="25.44140625" style="2" bestFit="1" customWidth="1"/>
    <col min="19" max="19" width="34" style="2" bestFit="1" customWidth="1"/>
    <col min="20" max="20" width="16" style="2" bestFit="1" customWidth="1"/>
    <col min="21" max="21" width="21.109375" style="2" bestFit="1" customWidth="1"/>
    <col min="22" max="16384" width="9.109375" style="2"/>
  </cols>
  <sheetData>
    <row r="1" spans="1:21" ht="4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34B44-97A2-4073-AC7C-25AE67D852A0}">
  <dimension ref="A2:AE20"/>
  <sheetViews>
    <sheetView workbookViewId="0">
      <selection activeCell="J18" sqref="J18:M19"/>
    </sheetView>
  </sheetViews>
  <sheetFormatPr defaultRowHeight="14.4"/>
  <cols>
    <col min="1" max="1" width="12.44140625" bestFit="1" customWidth="1"/>
    <col min="2" max="2" width="16.6640625" bestFit="1" customWidth="1"/>
    <col min="4" max="5" width="10.109375" customWidth="1"/>
    <col min="6" max="6" width="12.44140625" bestFit="1" customWidth="1"/>
    <col min="7" max="7" width="12.21875" bestFit="1" customWidth="1"/>
    <col min="8" max="8" width="17.21875" bestFit="1" customWidth="1"/>
    <col min="10" max="10" width="16.6640625" bestFit="1" customWidth="1"/>
    <col min="11" max="11" width="15.5546875" bestFit="1" customWidth="1"/>
    <col min="12" max="12" width="5" bestFit="1" customWidth="1"/>
    <col min="13" max="13" width="10.5546875" bestFit="1" customWidth="1"/>
    <col min="14" max="14" width="5.6640625" bestFit="1" customWidth="1"/>
    <col min="15" max="15" width="4.33203125" bestFit="1" customWidth="1"/>
    <col min="16" max="16" width="12.44140625" bestFit="1" customWidth="1"/>
    <col min="17" max="17" width="16.6640625" bestFit="1" customWidth="1"/>
    <col min="18" max="18" width="7.5546875" customWidth="1"/>
    <col min="19" max="19" width="10.5546875" bestFit="1" customWidth="1"/>
    <col min="21" max="21" width="13.88671875" bestFit="1" customWidth="1"/>
    <col min="22" max="22" width="16.6640625" bestFit="1" customWidth="1"/>
    <col min="23" max="23" width="17.77734375" bestFit="1" customWidth="1"/>
    <col min="25" max="25" width="12.44140625" bestFit="1" customWidth="1"/>
    <col min="26" max="26" width="16.6640625" bestFit="1" customWidth="1"/>
    <col min="29" max="29" width="12.44140625" bestFit="1" customWidth="1"/>
    <col min="30" max="30" width="26.44140625" bestFit="1" customWidth="1"/>
  </cols>
  <sheetData>
    <row r="2" spans="1:31">
      <c r="A2" s="17" t="s">
        <v>218</v>
      </c>
      <c r="B2" s="17"/>
      <c r="C2" s="17"/>
      <c r="F2" s="17" t="s">
        <v>221</v>
      </c>
      <c r="G2" s="17"/>
      <c r="H2" s="17"/>
      <c r="J2" s="17" t="s">
        <v>223</v>
      </c>
      <c r="K2" s="17"/>
      <c r="L2" s="17"/>
      <c r="P2" s="17" t="s">
        <v>226</v>
      </c>
      <c r="Q2" s="17"/>
      <c r="R2" s="17"/>
      <c r="U2" s="17" t="s">
        <v>227</v>
      </c>
      <c r="V2" s="17"/>
      <c r="W2" s="17"/>
      <c r="Y2" s="17" t="s">
        <v>227</v>
      </c>
      <c r="Z2" s="17"/>
      <c r="AA2" s="17"/>
      <c r="AC2" s="17" t="s">
        <v>7</v>
      </c>
      <c r="AD2" s="17"/>
      <c r="AE2" s="17"/>
    </row>
    <row r="3" spans="1:31">
      <c r="A3" s="4" t="s">
        <v>214</v>
      </c>
      <c r="B3" t="s">
        <v>216</v>
      </c>
      <c r="F3" s="4" t="s">
        <v>214</v>
      </c>
      <c r="G3" t="s">
        <v>219</v>
      </c>
      <c r="H3" t="s">
        <v>229</v>
      </c>
      <c r="J3" s="4" t="s">
        <v>216</v>
      </c>
      <c r="K3" s="4" t="s">
        <v>222</v>
      </c>
      <c r="P3" s="4" t="s">
        <v>214</v>
      </c>
      <c r="Q3" t="s">
        <v>216</v>
      </c>
      <c r="U3" s="4" t="s">
        <v>214</v>
      </c>
      <c r="V3" t="s">
        <v>216</v>
      </c>
      <c r="Y3" s="4" t="s">
        <v>214</v>
      </c>
      <c r="Z3" t="s">
        <v>216</v>
      </c>
      <c r="AC3" s="4" t="s">
        <v>214</v>
      </c>
      <c r="AD3" t="s">
        <v>230</v>
      </c>
    </row>
    <row r="4" spans="1:31">
      <c r="A4" s="5" t="s">
        <v>63</v>
      </c>
      <c r="B4" s="18">
        <v>17</v>
      </c>
      <c r="F4" s="5" t="s">
        <v>121</v>
      </c>
      <c r="G4" s="18">
        <v>167041</v>
      </c>
      <c r="H4" s="18">
        <v>28</v>
      </c>
      <c r="J4" s="4" t="s">
        <v>214</v>
      </c>
      <c r="K4" t="s">
        <v>22</v>
      </c>
      <c r="L4" t="s">
        <v>37</v>
      </c>
      <c r="M4" t="s">
        <v>215</v>
      </c>
      <c r="P4" s="5" t="s">
        <v>44</v>
      </c>
      <c r="Q4" s="18">
        <v>23</v>
      </c>
      <c r="U4" s="5" t="s">
        <v>75</v>
      </c>
      <c r="V4" s="18">
        <v>12</v>
      </c>
      <c r="Y4" s="5" t="s">
        <v>39</v>
      </c>
      <c r="Z4" s="18">
        <v>14</v>
      </c>
      <c r="AC4" s="5" t="s">
        <v>26</v>
      </c>
      <c r="AD4" s="9">
        <v>2.5833333333333335</v>
      </c>
    </row>
    <row r="5" spans="1:31">
      <c r="A5" s="5" t="s">
        <v>29</v>
      </c>
      <c r="B5" s="18">
        <v>20</v>
      </c>
      <c r="F5" s="5" t="s">
        <v>40</v>
      </c>
      <c r="G5" s="18">
        <v>613842</v>
      </c>
      <c r="H5" s="18">
        <v>110</v>
      </c>
      <c r="J5" s="5" t="s">
        <v>23</v>
      </c>
      <c r="K5" s="18">
        <v>6</v>
      </c>
      <c r="L5" s="18">
        <v>3</v>
      </c>
      <c r="M5" s="18">
        <v>9</v>
      </c>
      <c r="P5" s="5" t="s">
        <v>30</v>
      </c>
      <c r="Q5" s="18">
        <v>8</v>
      </c>
      <c r="U5" s="5" t="s">
        <v>34</v>
      </c>
      <c r="V5" s="18">
        <v>11</v>
      </c>
      <c r="Y5" s="5" t="s">
        <v>24</v>
      </c>
      <c r="Z5" s="18">
        <v>10</v>
      </c>
      <c r="AC5" s="5" t="s">
        <v>41</v>
      </c>
      <c r="AD5" s="9">
        <v>3.3</v>
      </c>
    </row>
    <row r="6" spans="1:31">
      <c r="A6" s="5" t="s">
        <v>111</v>
      </c>
      <c r="B6" s="18">
        <v>13</v>
      </c>
      <c r="F6" s="5" t="s">
        <v>72</v>
      </c>
      <c r="G6" s="18">
        <v>633594</v>
      </c>
      <c r="H6" s="18">
        <v>104</v>
      </c>
      <c r="J6" s="5" t="s">
        <v>38</v>
      </c>
      <c r="K6" s="18">
        <v>7</v>
      </c>
      <c r="L6" s="18">
        <v>6</v>
      </c>
      <c r="M6" s="18">
        <v>13</v>
      </c>
      <c r="P6" s="5" t="s">
        <v>54</v>
      </c>
      <c r="Q6" s="18">
        <v>19</v>
      </c>
      <c r="U6" s="5" t="s">
        <v>96</v>
      </c>
      <c r="V6" s="18">
        <v>7</v>
      </c>
      <c r="Y6" s="5" t="s">
        <v>102</v>
      </c>
      <c r="Z6" s="18">
        <v>7</v>
      </c>
      <c r="AC6" s="5" t="s">
        <v>81</v>
      </c>
      <c r="AD6" s="9">
        <v>2.25</v>
      </c>
    </row>
    <row r="7" spans="1:31">
      <c r="A7" s="5" t="s">
        <v>215</v>
      </c>
      <c r="B7" s="18">
        <v>50</v>
      </c>
      <c r="F7" s="5" t="s">
        <v>50</v>
      </c>
      <c r="G7" s="18">
        <v>959266</v>
      </c>
      <c r="H7" s="18">
        <v>123</v>
      </c>
      <c r="J7" s="5" t="s">
        <v>59</v>
      </c>
      <c r="K7" s="18">
        <v>5</v>
      </c>
      <c r="L7" s="18">
        <v>7</v>
      </c>
      <c r="M7" s="18">
        <v>12</v>
      </c>
      <c r="P7" s="5" t="s">
        <v>215</v>
      </c>
      <c r="Q7" s="18">
        <v>50</v>
      </c>
      <c r="U7" s="5" t="s">
        <v>56</v>
      </c>
      <c r="V7" s="18">
        <v>11</v>
      </c>
      <c r="Y7" s="5" t="s">
        <v>80</v>
      </c>
      <c r="Z7" s="18">
        <v>10</v>
      </c>
      <c r="AC7" s="5" t="s">
        <v>51</v>
      </c>
      <c r="AD7" s="9">
        <v>2.3636363636363638</v>
      </c>
    </row>
    <row r="8" spans="1:31">
      <c r="F8" s="5" t="s">
        <v>25</v>
      </c>
      <c r="G8" s="18">
        <v>731170</v>
      </c>
      <c r="H8" s="18">
        <v>122</v>
      </c>
      <c r="J8" s="5" t="s">
        <v>98</v>
      </c>
      <c r="K8" s="18">
        <v>4</v>
      </c>
      <c r="L8" s="18">
        <v>3</v>
      </c>
      <c r="M8" s="18">
        <v>7</v>
      </c>
      <c r="U8" s="5" t="s">
        <v>66</v>
      </c>
      <c r="V8" s="18">
        <v>9</v>
      </c>
      <c r="Y8" s="5" t="s">
        <v>49</v>
      </c>
      <c r="Z8" s="18">
        <v>9</v>
      </c>
      <c r="AC8" s="5" t="s">
        <v>60</v>
      </c>
      <c r="AD8" s="9">
        <v>2.5555555555555554</v>
      </c>
    </row>
    <row r="9" spans="1:31">
      <c r="A9" s="17" t="s">
        <v>218</v>
      </c>
      <c r="B9" s="17"/>
      <c r="C9" s="17"/>
      <c r="F9" s="5" t="s">
        <v>215</v>
      </c>
      <c r="G9" s="18">
        <v>3104913</v>
      </c>
      <c r="H9" s="18">
        <v>487</v>
      </c>
      <c r="J9" s="5" t="s">
        <v>68</v>
      </c>
      <c r="K9" s="18">
        <v>4</v>
      </c>
      <c r="L9" s="18">
        <v>5</v>
      </c>
      <c r="M9" s="18">
        <v>9</v>
      </c>
      <c r="U9" s="5" t="s">
        <v>215</v>
      </c>
      <c r="V9" s="18">
        <v>50</v>
      </c>
      <c r="Y9" s="5" t="s">
        <v>215</v>
      </c>
      <c r="Z9" s="18">
        <v>50</v>
      </c>
      <c r="AC9" s="5" t="s">
        <v>215</v>
      </c>
      <c r="AD9" s="18">
        <v>2.62</v>
      </c>
    </row>
    <row r="10" spans="1:31">
      <c r="A10" s="11" t="s">
        <v>63</v>
      </c>
      <c r="B10" s="10">
        <f>IFERROR(GETPIVOTDATA("Full Name",$A$3,"Employment Status","Contract"),"0")</f>
        <v>17</v>
      </c>
      <c r="J10" s="5" t="s">
        <v>215</v>
      </c>
      <c r="K10" s="18">
        <v>26</v>
      </c>
      <c r="L10" s="18">
        <v>24</v>
      </c>
      <c r="M10" s="18">
        <v>50</v>
      </c>
    </row>
    <row r="11" spans="1:31">
      <c r="A11" s="11" t="s">
        <v>29</v>
      </c>
      <c r="B11" s="10">
        <f>IFERROR(GETPIVOTDATA("Full Name",$A$3,"Employment Status","Full-Time"),"0")</f>
        <v>20</v>
      </c>
      <c r="P11" s="11" t="s">
        <v>44</v>
      </c>
      <c r="Q11" s="10">
        <f>IFERROR(GETPIVOTDATA("Full Name",$P$3,"Work Location","Branch Office"),"0")</f>
        <v>23</v>
      </c>
      <c r="R11" s="13">
        <f t="shared" ref="R11:R13" si="0">SUM(Q11)/SUM($Q$11:$Q$13)</f>
        <v>0.46</v>
      </c>
      <c r="S11" s="14">
        <f>1-R11</f>
        <v>0.54</v>
      </c>
      <c r="U11" s="11" t="s">
        <v>75</v>
      </c>
      <c r="V11" s="10">
        <f>IFERROR(GETPIVOTDATA("Full Name",$U$3,"Skills","Communication"),"0")</f>
        <v>12</v>
      </c>
      <c r="Y11" s="11" t="s">
        <v>39</v>
      </c>
      <c r="Z11" s="10">
        <f>IFERROR(GETPIVOTDATA("Full Name",$Y$3,"Region","Central"),"0")</f>
        <v>14</v>
      </c>
      <c r="AC11" s="11" t="s">
        <v>26</v>
      </c>
      <c r="AD11" s="15">
        <f>IFERROR(GETPIVOTDATA("Performance Rating",$AC$3,"Department","Finance"),"0")</f>
        <v>2.5833333333333335</v>
      </c>
    </row>
    <row r="12" spans="1:31">
      <c r="A12" s="11" t="s">
        <v>111</v>
      </c>
      <c r="B12" s="10">
        <f>IFERROR(GETPIVOTDATA("Full Name",$A$3,"Employment Status","Part-Time"),"0")</f>
        <v>13</v>
      </c>
      <c r="F12" s="11" t="s">
        <v>121</v>
      </c>
      <c r="G12" s="12">
        <f>IFERROR(GETPIVOTDATA("Salary",$F$3,"Job Title","Analyst"),"0")</f>
        <v>167041</v>
      </c>
      <c r="H12" s="12">
        <f>IFERROR(GETPIVOTDATA("Sum of Leave Taken",$F$3,"Job Title","Analyst"),"0")</f>
        <v>28</v>
      </c>
      <c r="J12" s="11" t="s">
        <v>23</v>
      </c>
      <c r="K12" s="10">
        <f>IFERROR(GETPIVOTDATA("Full Name",$J$3,"Age range","18-25"),"0")</f>
        <v>9</v>
      </c>
      <c r="P12" s="11" t="s">
        <v>30</v>
      </c>
      <c r="Q12" s="10">
        <f>IFERROR(GETPIVOTDATA("Full Name",$P$3,"Work Location","Head Office"),"0")</f>
        <v>8</v>
      </c>
      <c r="R12" s="13">
        <f t="shared" si="0"/>
        <v>0.16</v>
      </c>
      <c r="S12" s="14">
        <f>1-R12</f>
        <v>0.84</v>
      </c>
      <c r="U12" s="11" t="s">
        <v>34</v>
      </c>
      <c r="V12" s="10">
        <f>IFERROR(GETPIVOTDATA("Full Name",$U$3,"Skills","Design"),"0")</f>
        <v>11</v>
      </c>
      <c r="Y12" s="11" t="s">
        <v>24</v>
      </c>
      <c r="Z12" s="10">
        <f>IFERROR(GETPIVOTDATA("Full Name",$Y$3,"Region","East"),"0")</f>
        <v>10</v>
      </c>
      <c r="AC12" s="11" t="s">
        <v>41</v>
      </c>
      <c r="AD12" s="15">
        <f>IFERROR(GETPIVOTDATA("Performance Rating",$AC$3,"Department","HR"),"0")</f>
        <v>3.3</v>
      </c>
    </row>
    <row r="13" spans="1:31">
      <c r="A13" s="11" t="s">
        <v>217</v>
      </c>
      <c r="B13" s="10">
        <f>SUM(B10:B12)</f>
        <v>50</v>
      </c>
      <c r="F13" s="11" t="s">
        <v>40</v>
      </c>
      <c r="G13" s="12">
        <f>IFERROR(GETPIVOTDATA("Salary",$F$3,"Job Title","Designer"),"0")</f>
        <v>613842</v>
      </c>
      <c r="H13" s="12">
        <f>IFERROR(GETPIVOTDATA("Sum of Leave Taken",$F$3,"Job Title","Designer"),"0")</f>
        <v>110</v>
      </c>
      <c r="J13" s="11" t="s">
        <v>38</v>
      </c>
      <c r="K13" s="10">
        <f>IFERROR(GETPIVOTDATA("Full Name",$J$3,"Age range","26-35"),"0")</f>
        <v>13</v>
      </c>
      <c r="P13" s="11" t="s">
        <v>54</v>
      </c>
      <c r="Q13" s="10">
        <f>IFERROR(GETPIVOTDATA("Full Name",$P$3,"Work Location","Remote"),"0")</f>
        <v>19</v>
      </c>
      <c r="R13" s="13">
        <f t="shared" si="0"/>
        <v>0.38</v>
      </c>
      <c r="S13" s="14">
        <f>1-R13</f>
        <v>0.62</v>
      </c>
      <c r="U13" s="11" t="s">
        <v>96</v>
      </c>
      <c r="V13" s="10">
        <f>IFERROR(GETPIVOTDATA("Full Name",$U$3,"Skills","Excel"),"0")</f>
        <v>7</v>
      </c>
      <c r="Y13" s="11" t="s">
        <v>102</v>
      </c>
      <c r="Z13" s="10">
        <f>IFERROR(GETPIVOTDATA("Full Name",$Y$3,"Region","North"),"0")</f>
        <v>7</v>
      </c>
      <c r="AC13" s="11" t="s">
        <v>81</v>
      </c>
      <c r="AD13" s="15">
        <f>IFERROR(GETPIVOTDATA("Performance Rating",$AC$3,"Department","IT"),"0")</f>
        <v>2.25</v>
      </c>
    </row>
    <row r="14" spans="1:31">
      <c r="C14" s="8"/>
      <c r="F14" s="11" t="s">
        <v>72</v>
      </c>
      <c r="G14" s="12">
        <f>IFERROR(GETPIVOTDATA("Salary",$F$3,"Job Title","Developer"),"0")</f>
        <v>633594</v>
      </c>
      <c r="H14" s="12">
        <f>IFERROR(GETPIVOTDATA("Sum of Leave Taken",$F$3,"Job Title","Developer"),"0")</f>
        <v>104</v>
      </c>
      <c r="J14" s="11" t="s">
        <v>59</v>
      </c>
      <c r="K14" s="10">
        <f>IFERROR(GETPIVOTDATA("Full Name",$J$3,"Age range","36-45"),"0")</f>
        <v>12</v>
      </c>
      <c r="P14" s="11" t="s">
        <v>217</v>
      </c>
      <c r="Q14" s="10">
        <f>SUM(Q11:Q13)</f>
        <v>50</v>
      </c>
      <c r="R14" s="10"/>
      <c r="S14" s="10"/>
      <c r="U14" s="11" t="s">
        <v>56</v>
      </c>
      <c r="V14" s="10">
        <f>IFERROR(GETPIVOTDATA("Full Name",$U$3,"Skills","Management"),"0")</f>
        <v>11</v>
      </c>
      <c r="Y14" s="11" t="s">
        <v>80</v>
      </c>
      <c r="Z14" s="10">
        <f>IFERROR(GETPIVOTDATA("Full Name",$Y$3,"Region","South"),"0")</f>
        <v>10</v>
      </c>
      <c r="AC14" s="11" t="s">
        <v>51</v>
      </c>
      <c r="AD14" s="15">
        <f>IFERROR(GETPIVOTDATA("Performance Rating",$AC$3,"Department","Marketing"),"0")</f>
        <v>2.3636363636363638</v>
      </c>
    </row>
    <row r="15" spans="1:31">
      <c r="F15" s="11" t="s">
        <v>50</v>
      </c>
      <c r="G15" s="12">
        <f>IFERROR(GETPIVOTDATA("Salary",$F$3,"Job Title","HR Specialist"),"0")</f>
        <v>959266</v>
      </c>
      <c r="H15" s="12">
        <f>IFERROR(GETPIVOTDATA("Sum of Leave Taken",$F$3,"Job Title","HR Specialist"),"0")</f>
        <v>123</v>
      </c>
      <c r="J15" s="11" t="s">
        <v>98</v>
      </c>
      <c r="K15" s="10">
        <f>IFERROR(GETPIVOTDATA("Full Name",$J$3,"Age range","56 &lt;"),"0")</f>
        <v>9</v>
      </c>
      <c r="U15" s="11" t="s">
        <v>66</v>
      </c>
      <c r="V15" s="10">
        <f>IFERROR(GETPIVOTDATA("Full Name",$U$3,"Skills","Python"),"0")</f>
        <v>9</v>
      </c>
      <c r="Y15" s="11" t="s">
        <v>49</v>
      </c>
      <c r="Z15" s="10">
        <f>IFERROR(GETPIVOTDATA("Full Name",$Y$3,"Region","West"),"0")</f>
        <v>9</v>
      </c>
      <c r="AC15" s="11" t="s">
        <v>60</v>
      </c>
      <c r="AD15" s="15">
        <f>IFERROR(GETPIVOTDATA("Performance Rating",$AC$3,"Department","Operations"),"0")</f>
        <v>2.5555555555555554</v>
      </c>
    </row>
    <row r="16" spans="1:31">
      <c r="F16" s="11" t="s">
        <v>25</v>
      </c>
      <c r="G16" s="12">
        <f>IFERROR(GETPIVOTDATA("Salary",$F$3,"Job Title","Manager"),"0")</f>
        <v>731170</v>
      </c>
      <c r="H16" s="12">
        <f>IFERROR(GETPIVOTDATA("Sum of Leave Taken",$F$3,"Job Title","Manager"),"0")</f>
        <v>122</v>
      </c>
      <c r="J16" s="11" t="s">
        <v>68</v>
      </c>
      <c r="K16" s="10">
        <f>IFERROR(GETPIVOTDATA("Full Name",$J$3,"Age range","46-55"),"0")</f>
        <v>7</v>
      </c>
      <c r="U16" s="11" t="s">
        <v>217</v>
      </c>
      <c r="V16" s="10">
        <f>SUM(V11:V15)</f>
        <v>50</v>
      </c>
      <c r="Y16" s="11" t="s">
        <v>217</v>
      </c>
      <c r="Z16" s="10">
        <f>SUM(Z11:Z15)</f>
        <v>50</v>
      </c>
      <c r="AC16" s="11" t="s">
        <v>217</v>
      </c>
      <c r="AD16" s="15">
        <f>AVERAGE(AD11:AD15)</f>
        <v>2.6105050505050502</v>
      </c>
    </row>
    <row r="17" spans="5:13">
      <c r="F17" s="11" t="s">
        <v>220</v>
      </c>
      <c r="G17" s="12">
        <f>SUM(G12:G16)</f>
        <v>3104913</v>
      </c>
      <c r="H17" s="12">
        <f>SUM(H12:H16)</f>
        <v>487</v>
      </c>
    </row>
    <row r="18" spans="5:13">
      <c r="J18" s="11" t="s">
        <v>224</v>
      </c>
      <c r="K18" s="10">
        <f>IFERROR(GETPIVOTDATA("Full Name",$J$3,"Gender","Female"),"0")</f>
        <v>26</v>
      </c>
      <c r="L18" s="16">
        <f t="shared" ref="L18:L19" si="1">SUM(K18)/SUM($K$18:$K$19)</f>
        <v>0.52</v>
      </c>
      <c r="M18" s="14">
        <f>1-L18</f>
        <v>0.48</v>
      </c>
    </row>
    <row r="19" spans="5:13">
      <c r="J19" s="11" t="s">
        <v>225</v>
      </c>
      <c r="K19" s="10">
        <f>IFERROR(GETPIVOTDATA("Full Name",$J$3,"Gender","Male"),"0")</f>
        <v>24</v>
      </c>
      <c r="L19" s="16">
        <f t="shared" si="1"/>
        <v>0.48</v>
      </c>
      <c r="M19" s="14">
        <f>1-L19</f>
        <v>0.52</v>
      </c>
    </row>
    <row r="20" spans="5:13">
      <c r="E20" s="5"/>
    </row>
  </sheetData>
  <mergeCells count="8">
    <mergeCell ref="U2:W2"/>
    <mergeCell ref="Y2:AA2"/>
    <mergeCell ref="AC2:AE2"/>
    <mergeCell ref="A9:C9"/>
    <mergeCell ref="F2:H2"/>
    <mergeCell ref="A2:C2"/>
    <mergeCell ref="J2:L2"/>
    <mergeCell ref="P2:R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4EE1B-620B-4F03-814E-1C41B516831D}">
  <dimension ref="D9:O16"/>
  <sheetViews>
    <sheetView tabSelected="1" zoomScale="94" zoomScaleNormal="94" workbookViewId="0">
      <selection activeCell="T21" sqref="T21"/>
    </sheetView>
  </sheetViews>
  <sheetFormatPr defaultRowHeight="14.4"/>
  <cols>
    <col min="1" max="16384" width="8.88671875" style="7"/>
  </cols>
  <sheetData>
    <row r="9" spans="4:15" ht="15">
      <c r="D9" s="6"/>
    </row>
    <row r="16" spans="4:15">
      <c r="O16" t="s">
        <v>228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pooja bhatt</cp:lastModifiedBy>
  <dcterms:created xsi:type="dcterms:W3CDTF">2024-12-11T17:14:33Z</dcterms:created>
  <dcterms:modified xsi:type="dcterms:W3CDTF">2025-12-03T09:09:23Z</dcterms:modified>
</cp:coreProperties>
</file>