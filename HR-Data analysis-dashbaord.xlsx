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202300"/>
  <mc:AlternateContent xmlns:mc="http://schemas.openxmlformats.org/markup-compatibility/2006">
    <mc:Choice Requires="x15">
      <x15ac:absPath xmlns:x15ac="http://schemas.microsoft.com/office/spreadsheetml/2010/11/ac" url="C:\Users\pooja bhatt\Downloads\"/>
    </mc:Choice>
  </mc:AlternateContent>
  <xr:revisionPtr revIDLastSave="0" documentId="8_{27D6BBFD-B4CE-45C1-88E8-CCFFF83D7223}" xr6:coauthVersionLast="47" xr6:coauthVersionMax="47" xr10:uidLastSave="{00000000-0000-0000-0000-000000000000}"/>
  <bookViews>
    <workbookView xWindow="-108" yWindow="-108" windowWidth="23256" windowHeight="12456" activeTab="2" xr2:uid="{408BA6AB-5196-496B-9C80-B057CC378CDA}"/>
  </bookViews>
  <sheets>
    <sheet name="data" sheetId="1" r:id="rId1"/>
    <sheet name="pivot table" sheetId="5" r:id="rId2"/>
    <sheet name="dashboard" sheetId="3" r:id="rId3"/>
  </sheets>
  <externalReferences>
    <externalReference r:id="rId4"/>
  </externalReferences>
  <definedNames>
    <definedName name="Slicer_Department">#N/A</definedName>
    <definedName name="Slicer_Gender">#N/A</definedName>
  </definedNames>
  <calcPr calcId="191029"/>
  <pivotCaches>
    <pivotCache cacheId="69"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15" i="5" l="1"/>
  <c r="AD14" i="5"/>
  <c r="AD13" i="5"/>
  <c r="AD12" i="5"/>
  <c r="AD11" i="5"/>
  <c r="Z15" i="5"/>
  <c r="Z14" i="5"/>
  <c r="Z13" i="5"/>
  <c r="Z12" i="5"/>
  <c r="Z11" i="5"/>
  <c r="H16" i="5"/>
  <c r="H15" i="5"/>
  <c r="H14" i="5"/>
  <c r="H13" i="5"/>
  <c r="H12" i="5"/>
  <c r="V15" i="5"/>
  <c r="V14" i="5"/>
  <c r="V13" i="5"/>
  <c r="V12" i="5"/>
  <c r="V11" i="5"/>
  <c r="Q13" i="5"/>
  <c r="Q12" i="5"/>
  <c r="Q11" i="5"/>
  <c r="K19" i="5"/>
  <c r="K18" i="5"/>
  <c r="K15" i="5"/>
  <c r="K16" i="5"/>
  <c r="K14" i="5"/>
  <c r="K13" i="5"/>
  <c r="K12" i="5"/>
  <c r="G12" i="5"/>
  <c r="G16" i="5"/>
  <c r="G15" i="5"/>
  <c r="G14" i="5"/>
  <c r="G13" i="5"/>
  <c r="B12" i="5"/>
  <c r="B11" i="5"/>
  <c r="B10" i="5"/>
  <c r="AD16" i="5" l="1"/>
  <c r="Q14" i="5"/>
  <c r="R11" i="5"/>
  <c r="S11" i="5" s="1"/>
  <c r="R12" i="5"/>
  <c r="S12" i="5" s="1"/>
  <c r="R13" i="5"/>
  <c r="S13" i="5" s="1"/>
  <c r="V16" i="5"/>
  <c r="Z16" i="5"/>
  <c r="H17" i="5"/>
  <c r="L18" i="5"/>
  <c r="M18" i="5" s="1"/>
  <c r="L19" i="5"/>
  <c r="M19" i="5" s="1"/>
  <c r="B13" i="5"/>
  <c r="G17" i="5"/>
</calcChain>
</file>

<file path=xl/sharedStrings.xml><?xml version="1.0" encoding="utf-8"?>
<sst xmlns="http://schemas.openxmlformats.org/spreadsheetml/2006/main" count="880" uniqueCount="235">
  <si>
    <t>Employee ID</t>
  </si>
  <si>
    <t>Full Name</t>
  </si>
  <si>
    <t>Gender</t>
  </si>
  <si>
    <t>Age</t>
  </si>
  <si>
    <t>Age range</t>
  </si>
  <si>
    <t>Region</t>
  </si>
  <si>
    <t>Job Title</t>
  </si>
  <si>
    <t>Department</t>
  </si>
  <si>
    <t>Manager/Supervisor</t>
  </si>
  <si>
    <t>Date of Hire</t>
  </si>
  <si>
    <t>Employment Status</t>
  </si>
  <si>
    <t>Work Location</t>
  </si>
  <si>
    <t>Salary</t>
  </si>
  <si>
    <t>Pay Grade</t>
  </si>
  <si>
    <t>Bonus/Allowances</t>
  </si>
  <si>
    <t>Insurance Details</t>
  </si>
  <si>
    <t>Leave Taken</t>
  </si>
  <si>
    <t>Performance Rating</t>
  </si>
  <si>
    <t>Training Programs Attended</t>
  </si>
  <si>
    <t>Skills</t>
  </si>
  <si>
    <t>Certifications</t>
  </si>
  <si>
    <t>Lori Nguyen</t>
  </si>
  <si>
    <t>Female</t>
  </si>
  <si>
    <t>18-25</t>
  </si>
  <si>
    <t>East</t>
  </si>
  <si>
    <t>Manager</t>
  </si>
  <si>
    <t>Finance</t>
  </si>
  <si>
    <t>Luis Reynolds</t>
  </si>
  <si>
    <t>2019-03-15</t>
  </si>
  <si>
    <t>Full-Time</t>
  </si>
  <si>
    <t>Head Office</t>
  </si>
  <si>
    <t>C</t>
  </si>
  <si>
    <t>Health</t>
  </si>
  <si>
    <t>Leadership Training</t>
  </si>
  <si>
    <t>Design</t>
  </si>
  <si>
    <t>Certified Professional</t>
  </si>
  <si>
    <t>Gary Garcia</t>
  </si>
  <si>
    <t>Male</t>
  </si>
  <si>
    <t>26-35</t>
  </si>
  <si>
    <t>Central</t>
  </si>
  <si>
    <t>Designer</t>
  </si>
  <si>
    <t>HR</t>
  </si>
  <si>
    <t>Ashley Simmons MD</t>
  </si>
  <si>
    <t>2022-12-20</t>
  </si>
  <si>
    <t>Branch Office</t>
  </si>
  <si>
    <t>B</t>
  </si>
  <si>
    <t>None</t>
  </si>
  <si>
    <t>Excel Workshop</t>
  </si>
  <si>
    <t>Jeremy Nguyen</t>
  </si>
  <si>
    <t>West</t>
  </si>
  <si>
    <t>HR Specialist</t>
  </si>
  <si>
    <t>Marketing</t>
  </si>
  <si>
    <t>Cassandra Duncan</t>
  </si>
  <si>
    <t>2022-08-10</t>
  </si>
  <si>
    <t>Remote</t>
  </si>
  <si>
    <t>D</t>
  </si>
  <si>
    <t>Management</t>
  </si>
  <si>
    <t>Advanced Training</t>
  </si>
  <si>
    <t>Kimberly Jones</t>
  </si>
  <si>
    <t>36-45</t>
  </si>
  <si>
    <t>Operations</t>
  </si>
  <si>
    <t>Janet Harris</t>
  </si>
  <si>
    <t>2024-09-03</t>
  </si>
  <si>
    <t>Contract</t>
  </si>
  <si>
    <t>A</t>
  </si>
  <si>
    <t>Health + Dental</t>
  </si>
  <si>
    <t>Python</t>
  </si>
  <si>
    <t>Anthony Gates</t>
  </si>
  <si>
    <t>56 &lt;</t>
  </si>
  <si>
    <t>Mr. Frank Clay</t>
  </si>
  <si>
    <t>2019-03-14</t>
  </si>
  <si>
    <t>Courtney Foster</t>
  </si>
  <si>
    <t>Developer</t>
  </si>
  <si>
    <t>Dorothy Price</t>
  </si>
  <si>
    <t>2017-01-23</t>
  </si>
  <si>
    <t>Communication</t>
  </si>
  <si>
    <t>Catherine Hall</t>
  </si>
  <si>
    <t>Michele Sexton</t>
  </si>
  <si>
    <t>2024-08-17</t>
  </si>
  <si>
    <t>Deanna Ball</t>
  </si>
  <si>
    <t>South</t>
  </si>
  <si>
    <t>IT</t>
  </si>
  <si>
    <t>Richard Schmidt</t>
  </si>
  <si>
    <t>2014-12-09</t>
  </si>
  <si>
    <t>Candace Nelson</t>
  </si>
  <si>
    <t>Teresa Pearson</t>
  </si>
  <si>
    <t>2021-06-28</t>
  </si>
  <si>
    <t>Mandy Davis</t>
  </si>
  <si>
    <t>Laura Hart</t>
  </si>
  <si>
    <t>2018-05-20</t>
  </si>
  <si>
    <t>Matthew Powell</t>
  </si>
  <si>
    <t>Andrea May</t>
  </si>
  <si>
    <t>2017-02-13</t>
  </si>
  <si>
    <t>Bruce Nelson</t>
  </si>
  <si>
    <t>Casey Martin</t>
  </si>
  <si>
    <t>2024-05-05</t>
  </si>
  <si>
    <t>Excel</t>
  </si>
  <si>
    <t>Dawn Cole</t>
  </si>
  <si>
    <t>46-55</t>
  </si>
  <si>
    <t>Amber Allen</t>
  </si>
  <si>
    <t>2022-04-19</t>
  </si>
  <si>
    <t>Tanner Morse</t>
  </si>
  <si>
    <t>North</t>
  </si>
  <si>
    <t>Adam Johnson</t>
  </si>
  <si>
    <t>2015-11-16</t>
  </si>
  <si>
    <t>Jose Griffin</t>
  </si>
  <si>
    <t>Nicole Dominguez</t>
  </si>
  <si>
    <t>2023-09-09</t>
  </si>
  <si>
    <t>Daniel Hawkins</t>
  </si>
  <si>
    <t>Andrew Best</t>
  </si>
  <si>
    <t>2017-12-12</t>
  </si>
  <si>
    <t>Part-Time</t>
  </si>
  <si>
    <t>Elaine Mcclain</t>
  </si>
  <si>
    <t>Gabrielle Rodriguez</t>
  </si>
  <si>
    <t>2017-03-10</t>
  </si>
  <si>
    <t>Allison Harvey</t>
  </si>
  <si>
    <t>2019-03-04</t>
  </si>
  <si>
    <t>Thomas Kramer</t>
  </si>
  <si>
    <t>Tristan Mejia</t>
  </si>
  <si>
    <t>2022-11-20</t>
  </si>
  <si>
    <t>Kevin Whitaker</t>
  </si>
  <si>
    <t>Analyst</t>
  </si>
  <si>
    <t>Mary Welch</t>
  </si>
  <si>
    <t>2021-03-02</t>
  </si>
  <si>
    <t>Dustin Carter</t>
  </si>
  <si>
    <t>Douglas Miles</t>
  </si>
  <si>
    <t>2021-08-01</t>
  </si>
  <si>
    <t>Nicole Williamson</t>
  </si>
  <si>
    <t>Jessica Fleming</t>
  </si>
  <si>
    <t>2015-08-14</t>
  </si>
  <si>
    <t>Matthew Knight</t>
  </si>
  <si>
    <t>Christine Lee</t>
  </si>
  <si>
    <t>2015-10-21</t>
  </si>
  <si>
    <t>Donna Jones</t>
  </si>
  <si>
    <t>Mario Smith DVM</t>
  </si>
  <si>
    <t>2015-03-14</t>
  </si>
  <si>
    <t>Carolyn Bullock</t>
  </si>
  <si>
    <t>Joseph Francis</t>
  </si>
  <si>
    <t>2024-05-22</t>
  </si>
  <si>
    <t>Wendy Gomez</t>
  </si>
  <si>
    <t>Sarah Young</t>
  </si>
  <si>
    <t>2017-03-19</t>
  </si>
  <si>
    <t>Michael Thomas</t>
  </si>
  <si>
    <t>Aaron Hart</t>
  </si>
  <si>
    <t>2021-09-15</t>
  </si>
  <si>
    <t>Kevin Bell</t>
  </si>
  <si>
    <t>Brian Boyd</t>
  </si>
  <si>
    <t>2022-05-09</t>
  </si>
  <si>
    <t>Richard Landry</t>
  </si>
  <si>
    <t>Steven Krueger</t>
  </si>
  <si>
    <t>2017-06-22</t>
  </si>
  <si>
    <t>George Hurley</t>
  </si>
  <si>
    <t>Debra Williams</t>
  </si>
  <si>
    <t>2020-11-28</t>
  </si>
  <si>
    <t>Mark Lopez</t>
  </si>
  <si>
    <t>Karen Mitchell</t>
  </si>
  <si>
    <t>2015-08-30</t>
  </si>
  <si>
    <t>Robert Williams</t>
  </si>
  <si>
    <t>Joseph Sanders</t>
  </si>
  <si>
    <t>2018-10-27</t>
  </si>
  <si>
    <t>Mary Schmidt</t>
  </si>
  <si>
    <t>Shelly George</t>
  </si>
  <si>
    <t>2018-08-26</t>
  </si>
  <si>
    <t>Mary Martinez</t>
  </si>
  <si>
    <t>Nicole Houston</t>
  </si>
  <si>
    <t>2023-07-24</t>
  </si>
  <si>
    <t>Paul Hall</t>
  </si>
  <si>
    <t>Kristin Shaffer</t>
  </si>
  <si>
    <t>2018-07-09</t>
  </si>
  <si>
    <t>Samantha Foster</t>
  </si>
  <si>
    <t>Joel Aguilar</t>
  </si>
  <si>
    <t>2016-12-21</t>
  </si>
  <si>
    <t>Timothy Aguilar</t>
  </si>
  <si>
    <t>Michael Wade</t>
  </si>
  <si>
    <t>2019-06-27</t>
  </si>
  <si>
    <t>Charles Andrews</t>
  </si>
  <si>
    <t>Jessica Walsh</t>
  </si>
  <si>
    <t>2021-08-27</t>
  </si>
  <si>
    <t>Veronica Nelson</t>
  </si>
  <si>
    <t>Kelly Mack</t>
  </si>
  <si>
    <t>2017-05-28</t>
  </si>
  <si>
    <t>Chris Sanchez</t>
  </si>
  <si>
    <t>John Conley</t>
  </si>
  <si>
    <t>2022-01-30</t>
  </si>
  <si>
    <t>Cassie Galvan</t>
  </si>
  <si>
    <t>Aaron Baker</t>
  </si>
  <si>
    <t>2017-04-20</t>
  </si>
  <si>
    <t>Jessica Jones</t>
  </si>
  <si>
    <t>Christopher Bass</t>
  </si>
  <si>
    <t>2019-07-22</t>
  </si>
  <si>
    <t>Emily Walker</t>
  </si>
  <si>
    <t>Sean Tucker PhD</t>
  </si>
  <si>
    <t>2018-11-29</t>
  </si>
  <si>
    <t>Vickie Lewis</t>
  </si>
  <si>
    <t>Jacob Scott</t>
  </si>
  <si>
    <t>2022-11-14</t>
  </si>
  <si>
    <t>Alexis Clark</t>
  </si>
  <si>
    <t>Joel Park</t>
  </si>
  <si>
    <t>2016-02-23</t>
  </si>
  <si>
    <t>Robert Davis</t>
  </si>
  <si>
    <t>Russell Marshall</t>
  </si>
  <si>
    <t>2018-05-18</t>
  </si>
  <si>
    <t>Daniel Brown MD</t>
  </si>
  <si>
    <t>James Holden</t>
  </si>
  <si>
    <t>2024-03-09</t>
  </si>
  <si>
    <t>Anna Payne</t>
  </si>
  <si>
    <t>Thomas Murphy</t>
  </si>
  <si>
    <t>2024-03-27</t>
  </si>
  <si>
    <t>Rhonda Pena</t>
  </si>
  <si>
    <t>Mark Abbott</t>
  </si>
  <si>
    <t>2019-12-23</t>
  </si>
  <si>
    <t>Nicole Gonzalez</t>
  </si>
  <si>
    <t>Robin Lynch</t>
  </si>
  <si>
    <t>2016-08-25</t>
  </si>
  <si>
    <t>Row Labels</t>
  </si>
  <si>
    <t>Grand Total</t>
  </si>
  <si>
    <t>Count of Full Name</t>
  </si>
  <si>
    <t>total</t>
  </si>
  <si>
    <t>NO OF EMPLOYEES TO EMPLOYEES STATUS</t>
  </si>
  <si>
    <t>Sum of Salary</t>
  </si>
  <si>
    <t>TOTAL</t>
  </si>
  <si>
    <t>SALARIES TO DEPARTMENT</t>
  </si>
  <si>
    <t>Column Labels</t>
  </si>
  <si>
    <t>AGE RANGE TO GENDER</t>
  </si>
  <si>
    <t>FEMALE</t>
  </si>
  <si>
    <t>MALE</t>
  </si>
  <si>
    <t>work place</t>
  </si>
  <si>
    <t>skills</t>
  </si>
  <si>
    <t>💻</t>
  </si>
  <si>
    <t>Sum of Leave Taken</t>
  </si>
  <si>
    <t>Average of Performance Rating</t>
  </si>
  <si>
    <t>Sum</t>
  </si>
  <si>
    <t>Average</t>
  </si>
  <si>
    <t>Running Total</t>
  </si>
  <si>
    <t>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</si>
</sst>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 #,##0.00_ ;_ * \-#,##0.00_ ;_ * &quot;-&quot;??_ ;_ @_ "/>
    <numFmt numFmtId="169" formatCode="_ * #,##0_ ;_ * \-#,##0_ ;_ * &quot;-&quot;??_ ;_ @_ "/>
    <numFmt numFmtId="182" formatCode="0.0"/>
  </numFmts>
  <fonts count="9">
    <font>
      <sz val="11"/>
      <color theme="1"/>
      <name val="Aptos Narrow"/>
      <family val="2"/>
      <scheme val="minor"/>
    </font>
    <font>
      <b/>
      <sz val="11"/>
      <color theme="0" tint="-4.9989318521683403E-2"/>
      <name val="Kulim Park"/>
    </font>
    <font>
      <sz val="11"/>
      <color theme="1"/>
      <name val="Kulim Park"/>
    </font>
    <font>
      <sz val="11"/>
      <color theme="0" tint="-4.9989318521683403E-2"/>
      <name val="Kulim Park"/>
    </font>
    <font>
      <sz val="11"/>
      <color theme="1"/>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sz val="11"/>
      <color theme="1"/>
      <name val="Franklin Gothic Medium"/>
      <family val="2"/>
    </font>
  </fonts>
  <fills count="5">
    <fill>
      <patternFill patternType="none"/>
    </fill>
    <fill>
      <patternFill patternType="gray125"/>
    </fill>
    <fill>
      <patternFill patternType="solid">
        <fgColor rgb="FF282828"/>
        <bgColor indexed="64"/>
      </patternFill>
    </fill>
    <fill>
      <patternFill patternType="solid">
        <fgColor theme="1" tint="0.14999847407452621"/>
        <bgColor indexed="64"/>
      </patternFill>
    </fill>
    <fill>
      <patternFill patternType="solid">
        <fgColor theme="0"/>
        <bgColor indexed="64"/>
      </patternFill>
    </fill>
  </fills>
  <borders count="3">
    <border>
      <left/>
      <right/>
      <top/>
      <bottom/>
      <diagonal/>
    </border>
    <border>
      <left/>
      <right/>
      <top style="thin">
        <color theme="1" tint="0.499984740745262"/>
      </top>
      <bottom style="thin">
        <color theme="1" tint="0.499984740745262"/>
      </bottom>
      <diagonal/>
    </border>
    <border>
      <left style="thin">
        <color indexed="64"/>
      </left>
      <right style="thin">
        <color indexed="64"/>
      </right>
      <top style="thin">
        <color indexed="64"/>
      </top>
      <bottom style="thin">
        <color indexed="64"/>
      </bottom>
      <diagonal/>
    </border>
  </borders>
  <cellStyleXfs count="3">
    <xf numFmtId="0" fontId="0" fillId="0" borderId="0"/>
    <xf numFmtId="43" fontId="4" fillId="0" borderId="0" applyFont="0" applyFill="0" applyBorder="0" applyAlignment="0" applyProtection="0"/>
    <xf numFmtId="9" fontId="4" fillId="0" borderId="0" applyFont="0" applyFill="0" applyBorder="0" applyAlignment="0" applyProtection="0"/>
  </cellStyleXfs>
  <cellXfs count="20">
    <xf numFmtId="0" fontId="0" fillId="0" borderId="0" xfId="0"/>
    <xf numFmtId="0" fontId="1" fillId="2" borderId="0" xfId="0" applyFont="1" applyFill="1" applyAlignment="1">
      <alignment horizontal="center" vertical="center"/>
    </xf>
    <xf numFmtId="0" fontId="2" fillId="0" borderId="0" xfId="0" applyFont="1" applyAlignment="1">
      <alignment horizontal="center" vertical="center"/>
    </xf>
    <xf numFmtId="0" fontId="3" fillId="2" borderId="1" xfId="0" applyFont="1" applyFill="1" applyBorder="1" applyAlignment="1">
      <alignment horizontal="center" vertical="center"/>
    </xf>
    <xf numFmtId="0" fontId="0" fillId="0" borderId="0" xfId="0" applyNumberFormat="1"/>
    <xf numFmtId="0" fontId="0" fillId="0" borderId="0" xfId="0" pivotButton="1"/>
    <xf numFmtId="0" fontId="0" fillId="0" borderId="0" xfId="0" applyAlignment="1">
      <alignment horizontal="left"/>
    </xf>
    <xf numFmtId="0" fontId="8" fillId="2" borderId="0" xfId="0" applyFont="1" applyFill="1"/>
    <xf numFmtId="0" fontId="0" fillId="2" borderId="0" xfId="0" applyFill="1"/>
    <xf numFmtId="0" fontId="5" fillId="3" borderId="0" xfId="0" applyFont="1" applyFill="1" applyAlignment="1">
      <alignment horizontal="center"/>
    </xf>
    <xf numFmtId="0" fontId="7" fillId="4" borderId="0" xfId="0" applyFont="1" applyFill="1"/>
    <xf numFmtId="182" fontId="0" fillId="0" borderId="0" xfId="0" applyNumberFormat="1"/>
    <xf numFmtId="0" fontId="0" fillId="0" borderId="2" xfId="0" applyBorder="1"/>
    <xf numFmtId="0" fontId="0" fillId="0" borderId="2" xfId="0" applyBorder="1" applyAlignment="1">
      <alignment horizontal="left"/>
    </xf>
    <xf numFmtId="169" fontId="0" fillId="0" borderId="2" xfId="1" applyNumberFormat="1" applyFont="1" applyBorder="1"/>
    <xf numFmtId="9" fontId="0" fillId="0" borderId="2" xfId="2" applyFont="1" applyBorder="1"/>
    <xf numFmtId="9" fontId="0" fillId="0" borderId="2" xfId="0" applyNumberFormat="1" applyBorder="1"/>
    <xf numFmtId="182" fontId="0" fillId="0" borderId="2" xfId="0" applyNumberFormat="1" applyBorder="1"/>
    <xf numFmtId="0" fontId="0" fillId="0" borderId="2" xfId="0" applyNumberFormat="1" applyBorder="1"/>
    <xf numFmtId="9" fontId="6" fillId="0" borderId="2" xfId="0" applyNumberFormat="1" applyFont="1" applyBorder="1"/>
  </cellXfs>
  <cellStyles count="3">
    <cellStyle name="Comma" xfId="1" builtinId="3"/>
    <cellStyle name="Normal" xfId="0" builtinId="0"/>
    <cellStyle name="Percent" xfId="2" builtinId="5"/>
  </cellStyles>
  <dxfs count="69">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numFmt numFmtId="182" formatCode="0.0"/>
    </dxf>
    <dxf>
      <font>
        <color rgb="FF1F1F1F"/>
      </font>
    </dxf>
    <dxf>
      <font>
        <b val="0"/>
        <i val="0"/>
        <sz val="10"/>
        <color theme="1"/>
        <name val="Aptos Display"/>
        <family val="2"/>
        <scheme val="major"/>
      </font>
      <fill>
        <patternFill>
          <bgColor rgb="FF1F1F1F"/>
        </patternFill>
      </fill>
    </dxf>
    <dxf>
      <fill>
        <patternFill>
          <fgColor rgb="FFFFC000"/>
        </patternFill>
      </fill>
    </dxf>
    <dxf>
      <fill>
        <patternFill>
          <fgColor rgb="FFFFC000"/>
        </patternFill>
      </fill>
    </dxf>
    <dxf>
      <font>
        <b val="0"/>
        <i val="0"/>
        <sz val="10"/>
        <color rgb="FF1F1F1F"/>
        <name val="Aptos Display"/>
        <family val="2"/>
        <scheme val="major"/>
      </font>
    </dxf>
    <dxf>
      <numFmt numFmtId="182" formatCode="0.0"/>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left/>
        <right/>
        <top style="thin">
          <color theme="1" tint="0.499984740745262"/>
        </top>
        <bottom style="thin">
          <color theme="1" tint="0.499984740745262"/>
        </bottom>
        <vertical/>
        <horizontal style="thin">
          <color theme="1" tint="0.499984740745262"/>
        </horizontal>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border diagonalUp="0" diagonalDown="0" outline="0">
        <left/>
        <right/>
        <top style="thin">
          <color theme="1" tint="0.499984740745262"/>
        </top>
        <bottom style="thin">
          <color theme="1" tint="0.499984740745262"/>
        </bottom>
      </border>
    </dxf>
    <dxf>
      <font>
        <strike val="0"/>
        <outline val="0"/>
        <shadow val="0"/>
        <u val="none"/>
        <vertAlign val="baseline"/>
        <sz val="11"/>
        <color theme="0" tint="-4.9989318521683403E-2"/>
        <name val="Kulim Park"/>
        <scheme val="none"/>
      </font>
      <numFmt numFmtId="0" formatCode="General"/>
      <fill>
        <patternFill patternType="solid">
          <fgColor indexed="64"/>
          <bgColor rgb="FF282828"/>
        </patternFill>
      </fill>
      <alignment horizontal="center" vertical="center" textRotation="0" wrapText="0" indent="0" justifyLastLine="0" shrinkToFit="0" readingOrder="0"/>
      <border diagonalUp="0" diagonalDown="0" outline="0">
        <left/>
        <right/>
        <top style="thin">
          <color theme="1" tint="0.499984740745262"/>
        </top>
        <bottom style="thin">
          <color theme="1" tint="0.499984740745262"/>
        </bottom>
      </border>
    </dxf>
    <dxf>
      <font>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dxf>
    <dxf>
      <font>
        <b/>
        <strike val="0"/>
        <outline val="0"/>
        <shadow val="0"/>
        <u val="none"/>
        <vertAlign val="baseline"/>
        <sz val="11"/>
        <color theme="0" tint="-4.9989318521683403E-2"/>
        <name val="Kulim Park"/>
        <scheme val="none"/>
      </font>
      <fill>
        <patternFill patternType="solid">
          <fgColor indexed="64"/>
          <bgColor rgb="FF282828"/>
        </patternFill>
      </fill>
      <alignment horizontal="center" vertical="center" textRotation="0" wrapText="0" indent="0" justifyLastLine="0" shrinkToFit="0" readingOrder="0"/>
    </dxf>
  </dxfs>
  <tableStyles count="5" defaultTableStyle="TableStyleMedium2" defaultPivotStyle="PivotStyleLight16">
    <tableStyle name="Slicer Style 1" pivot="0" table="0" count="1" xr9:uid="{870C6D29-09F2-4091-8417-B39EDDC6C71A}">
      <tableStyleElement type="wholeTable" dxfId="44"/>
    </tableStyle>
    <tableStyle name="Slicer Style 2" pivot="0" table="0" count="1" xr9:uid="{4595B831-D6A6-45A4-AE76-FBC83E7A266A}"/>
    <tableStyle name="Slicer Style 3" pivot="0" table="0" count="5" xr9:uid="{075F5FC0-0EE5-4EBE-BD74-FF0EF377CCC4}">
      <tableStyleElement type="wholeTable" dxfId="41"/>
      <tableStyleElement type="headerRow" dxfId="40"/>
    </tableStyle>
    <tableStyle name="Slicer Style 4" pivot="0" table="0" count="1" xr9:uid="{DC502D5D-C735-4A51-B590-30AEC32C3538}">
      <tableStyleElement type="wholeTable" dxfId="43"/>
    </tableStyle>
    <tableStyle name="Slicer Style 5" pivot="0" table="0" count="1" xr9:uid="{418E6EDE-AB87-41A6-84E5-A7F74B7C9168}">
      <tableStyleElement type="wholeTable" dxfId="42"/>
    </tableStyle>
  </tableStyles>
  <colors>
    <mruColors>
      <color rgb="FF1F1F1F"/>
      <color rgb="FFFFFFFF"/>
      <color rgb="FFFFCC00"/>
      <color rgb="FF7E3706"/>
      <color rgb="FF79690B"/>
      <color rgb="FF808004"/>
      <color rgb="FF282828"/>
    </mruColors>
  </colors>
  <extLst>
    <ext xmlns:x14="http://schemas.microsoft.com/office/spreadsheetml/2009/9/main" uri="{46F421CA-312F-682f-3DD2-61675219B42D}">
      <x14:dxfs count="3">
        <dxf>
          <fill>
            <patternFill>
              <fgColor rgb="FFFFC000"/>
              <bgColor rgb="FFFFC000"/>
            </patternFill>
          </fill>
        </dxf>
        <dxf>
          <font>
            <b val="0"/>
            <i val="0"/>
            <sz val="10"/>
            <name val="Aptos Display"/>
            <family val="2"/>
            <scheme val="major"/>
          </font>
          <fill>
            <patternFill>
              <fgColor rgb="FFFFC000"/>
              <bgColor rgb="FFFFC000"/>
            </patternFill>
          </fill>
        </dxf>
        <dxf>
          <font>
            <name val="Aptos Narrow"/>
            <family val="2"/>
            <scheme val="minor"/>
          </font>
          <fill>
            <patternFill>
              <fgColor rgb="FFFFC000"/>
              <bgColor rgb="FFFFCC00"/>
            </patternFill>
          </fill>
        </dxf>
      </x14:dxfs>
    </ext>
    <ext xmlns:x14="http://schemas.microsoft.com/office/spreadsheetml/2009/9/main" uri="{EB79DEF2-80B8-43e5-95BD-54CBDDF9020C}">
      <x14:slicerStyles defaultSlicerStyle="SlicerStyleLight1">
        <x14:slicerStyle name="Slicer Style 1"/>
        <x14:slicerStyle name="Slicer Style 2"/>
        <x14:slicerStyle name="Slicer Style 3">
          <x14:slicerStyleElements>
            <x14:slicerStyleElement type="selectedItemWithData" dxfId="2"/>
            <x14:slicerStyleElement type="hoveredUnselectedItemWithData" dxfId="1"/>
            <x14:slicerStyleElement type="hoveredSelectedItemWithData" dxfId="0"/>
          </x14:slicerStyleElements>
        </x14:slicerStyle>
        <x14:slicerStyle name="Slicer Style 4"/>
        <x14:slicerStyle name="Slicer Style 5"/>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externalLink" Target="externalLinks/externalLink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1531190605484662"/>
          <c:y val="0.15740766779152607"/>
          <c:w val="0.50215517241379315"/>
          <c:h val="0.69345238095238104"/>
        </c:manualLayout>
      </c:layout>
      <c:pieChart>
        <c:varyColors val="1"/>
        <c:ser>
          <c:idx val="0"/>
          <c:order val="0"/>
          <c:spPr>
            <a:ln w="19050">
              <a:solidFill>
                <a:schemeClr val="tx1"/>
              </a:solidFill>
            </a:ln>
          </c:spPr>
          <c:explosion val="13"/>
          <c:dPt>
            <c:idx val="0"/>
            <c:bubble3D val="0"/>
            <c:explosion val="0"/>
            <c:spPr>
              <a:solidFill>
                <a:srgbClr val="FFC000"/>
              </a:solidFill>
              <a:ln w="19050">
                <a:solidFill>
                  <a:schemeClr val="tx1"/>
                </a:solidFill>
              </a:ln>
              <a:effectLst/>
            </c:spPr>
            <c:extLst>
              <c:ext xmlns:c16="http://schemas.microsoft.com/office/drawing/2014/chart" uri="{C3380CC4-5D6E-409C-BE32-E72D297353CC}">
                <c16:uniqueId val="{00000001-A4F3-4444-8694-4D768F07E6E3}"/>
              </c:ext>
            </c:extLst>
          </c:dPt>
          <c:dPt>
            <c:idx val="1"/>
            <c:bubble3D val="0"/>
            <c:explosion val="6"/>
            <c:spPr>
              <a:solidFill>
                <a:schemeClr val="tx1">
                  <a:lumMod val="50000"/>
                  <a:lumOff val="50000"/>
                </a:schemeClr>
              </a:solidFill>
              <a:ln w="19050">
                <a:solidFill>
                  <a:schemeClr val="tx1"/>
                </a:solidFill>
              </a:ln>
              <a:effectLst/>
            </c:spPr>
            <c:extLst>
              <c:ext xmlns:c16="http://schemas.microsoft.com/office/drawing/2014/chart" uri="{C3380CC4-5D6E-409C-BE32-E72D297353CC}">
                <c16:uniqueId val="{00000003-A4F3-4444-8694-4D768F07E6E3}"/>
              </c:ext>
            </c:extLst>
          </c:dPt>
          <c:dPt>
            <c:idx val="2"/>
            <c:bubble3D val="0"/>
            <c:explosion val="0"/>
            <c:spPr>
              <a:solidFill>
                <a:schemeClr val="bg2"/>
              </a:solidFill>
              <a:ln w="19050">
                <a:solidFill>
                  <a:schemeClr val="tx1"/>
                </a:solidFill>
              </a:ln>
              <a:effectLst/>
            </c:spPr>
            <c:extLst>
              <c:ext xmlns:c16="http://schemas.microsoft.com/office/drawing/2014/chart" uri="{C3380CC4-5D6E-409C-BE32-E72D297353CC}">
                <c16:uniqueId val="{00000005-A4F3-4444-8694-4D768F07E6E3}"/>
              </c:ext>
            </c:extLst>
          </c:dPt>
          <c:cat>
            <c:strRef>
              <c:f>'pivot table'!$A$10:$A$12</c:f>
              <c:strCache>
                <c:ptCount val="3"/>
                <c:pt idx="0">
                  <c:v>Contract</c:v>
                </c:pt>
                <c:pt idx="1">
                  <c:v>Full-Time</c:v>
                </c:pt>
                <c:pt idx="2">
                  <c:v>Part-Time</c:v>
                </c:pt>
              </c:strCache>
            </c:strRef>
          </c:cat>
          <c:val>
            <c:numRef>
              <c:f>'pivot table'!$B$10:$B$12</c:f>
              <c:numCache>
                <c:formatCode>General</c:formatCode>
                <c:ptCount val="3"/>
                <c:pt idx="0">
                  <c:v>17</c:v>
                </c:pt>
                <c:pt idx="1">
                  <c:v>20</c:v>
                </c:pt>
                <c:pt idx="2">
                  <c:v>13</c:v>
                </c:pt>
              </c:numCache>
            </c:numRef>
          </c:val>
          <c:extLst>
            <c:ext xmlns:c16="http://schemas.microsoft.com/office/drawing/2014/chart" uri="{C3380CC4-5D6E-409C-BE32-E72D297353CC}">
              <c16:uniqueId val="{00000006-A4F3-4444-8694-4D768F07E6E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[HR-Data analysis-dashbaord.xlsx]pivot table!gender</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C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bg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9322855896270921E-2"/>
          <c:y val="0.18274442128369645"/>
          <c:w val="0.77778159831346261"/>
          <c:h val="0.64574525040649844"/>
        </c:manualLayout>
      </c:layout>
      <c:barChart>
        <c:barDir val="col"/>
        <c:grouping val="clustered"/>
        <c:varyColors val="0"/>
        <c:ser>
          <c:idx val="0"/>
          <c:order val="0"/>
          <c:tx>
            <c:strRef>
              <c:f>'pivot table'!$K$3:$K$4</c:f>
              <c:strCache>
                <c:ptCount val="1"/>
                <c:pt idx="0">
                  <c:v>Female</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C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table'!$J$5:$J$10</c:f>
              <c:strCache>
                <c:ptCount val="5"/>
                <c:pt idx="0">
                  <c:v>18-25</c:v>
                </c:pt>
                <c:pt idx="1">
                  <c:v>26-35</c:v>
                </c:pt>
                <c:pt idx="2">
                  <c:v>36-45</c:v>
                </c:pt>
                <c:pt idx="3">
                  <c:v>46-55</c:v>
                </c:pt>
                <c:pt idx="4">
                  <c:v>56 &lt;</c:v>
                </c:pt>
              </c:strCache>
            </c:strRef>
          </c:cat>
          <c:val>
            <c:numRef>
              <c:f>'pivot table'!$K$5:$K$10</c:f>
              <c:numCache>
                <c:formatCode>General</c:formatCode>
                <c:ptCount val="5"/>
                <c:pt idx="0">
                  <c:v>6</c:v>
                </c:pt>
                <c:pt idx="1">
                  <c:v>7</c:v>
                </c:pt>
                <c:pt idx="2">
                  <c:v>5</c:v>
                </c:pt>
                <c:pt idx="3">
                  <c:v>4</c:v>
                </c:pt>
                <c:pt idx="4">
                  <c:v>4</c:v>
                </c:pt>
              </c:numCache>
            </c:numRef>
          </c:val>
          <c:extLst>
            <c:ext xmlns:c16="http://schemas.microsoft.com/office/drawing/2014/chart" uri="{C3380CC4-5D6E-409C-BE32-E72D297353CC}">
              <c16:uniqueId val="{00000000-E711-456E-974E-3BD8F0CF08EB}"/>
            </c:ext>
          </c:extLst>
        </c:ser>
        <c:ser>
          <c:idx val="1"/>
          <c:order val="1"/>
          <c:tx>
            <c:strRef>
              <c:f>'pivot table'!$L$3:$L$4</c:f>
              <c:strCache>
                <c:ptCount val="1"/>
                <c:pt idx="0">
                  <c:v>Male</c:v>
                </c:pt>
              </c:strCache>
            </c:strRef>
          </c:tx>
          <c:spPr>
            <a:solidFill>
              <a:schemeClr val="bg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table'!$J$5:$J$10</c:f>
              <c:strCache>
                <c:ptCount val="5"/>
                <c:pt idx="0">
                  <c:v>18-25</c:v>
                </c:pt>
                <c:pt idx="1">
                  <c:v>26-35</c:v>
                </c:pt>
                <c:pt idx="2">
                  <c:v>36-45</c:v>
                </c:pt>
                <c:pt idx="3">
                  <c:v>46-55</c:v>
                </c:pt>
                <c:pt idx="4">
                  <c:v>56 &lt;</c:v>
                </c:pt>
              </c:strCache>
            </c:strRef>
          </c:cat>
          <c:val>
            <c:numRef>
              <c:f>'pivot table'!$L$5:$L$10</c:f>
              <c:numCache>
                <c:formatCode>General</c:formatCode>
                <c:ptCount val="5"/>
                <c:pt idx="0">
                  <c:v>3</c:v>
                </c:pt>
                <c:pt idx="1">
                  <c:v>6</c:v>
                </c:pt>
                <c:pt idx="2">
                  <c:v>7</c:v>
                </c:pt>
                <c:pt idx="3">
                  <c:v>3</c:v>
                </c:pt>
                <c:pt idx="4">
                  <c:v>5</c:v>
                </c:pt>
              </c:numCache>
            </c:numRef>
          </c:val>
          <c:extLst>
            <c:ext xmlns:c16="http://schemas.microsoft.com/office/drawing/2014/chart" uri="{C3380CC4-5D6E-409C-BE32-E72D297353CC}">
              <c16:uniqueId val="{00000007-E711-456E-974E-3BD8F0CF08EB}"/>
            </c:ext>
          </c:extLst>
        </c:ser>
        <c:dLbls>
          <c:showLegendKey val="0"/>
          <c:showVal val="0"/>
          <c:showCatName val="0"/>
          <c:showSerName val="0"/>
          <c:showPercent val="0"/>
          <c:showBubbleSize val="0"/>
        </c:dLbls>
        <c:gapWidth val="219"/>
        <c:overlap val="-27"/>
        <c:axId val="208130176"/>
        <c:axId val="208138816"/>
      </c:barChart>
      <c:catAx>
        <c:axId val="208130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208138816"/>
        <c:crosses val="autoZero"/>
        <c:auto val="1"/>
        <c:lblAlgn val="ctr"/>
        <c:lblOffset val="100"/>
        <c:noMultiLvlLbl val="0"/>
      </c:catAx>
      <c:valAx>
        <c:axId val="208138816"/>
        <c:scaling>
          <c:orientation val="minMax"/>
        </c:scaling>
        <c:delete val="1"/>
        <c:axPos val="l"/>
        <c:majorGridlines>
          <c:spPr>
            <a:ln w="9525" cap="flat" cmpd="sng" algn="ctr">
              <a:solidFill>
                <a:schemeClr val="tx1">
                  <a:lumMod val="15000"/>
                  <a:lumOff val="85000"/>
                </a:schemeClr>
              </a:solidFill>
              <a:prstDash val="dashDot"/>
              <a:round/>
            </a:ln>
            <a:effectLst/>
          </c:spPr>
        </c:majorGridlines>
        <c:numFmt formatCode="General" sourceLinked="1"/>
        <c:majorTickMark val="none"/>
        <c:minorTickMark val="none"/>
        <c:tickLblPos val="nextTo"/>
        <c:crossAx val="2081301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3789727590948414E-2"/>
          <c:y val="0.10450077429313866"/>
          <c:w val="0.96621027240905155"/>
          <c:h val="0.77009829655509499"/>
        </c:manualLayout>
      </c:layout>
      <c:barChart>
        <c:barDir val="bar"/>
        <c:grouping val="stacked"/>
        <c:varyColors val="0"/>
        <c:ser>
          <c:idx val="0"/>
          <c:order val="0"/>
          <c:spPr>
            <a:solidFill>
              <a:srgbClr val="FFC000"/>
            </a:solidFill>
            <a:ln>
              <a:noFill/>
            </a:ln>
            <a:effectLst/>
          </c:spPr>
          <c:invertIfNegative val="0"/>
          <c:val>
            <c:numRef>
              <c:f>'pivot table'!$R$12</c:f>
              <c:numCache>
                <c:formatCode>0%</c:formatCode>
                <c:ptCount val="1"/>
                <c:pt idx="0">
                  <c:v>0.16</c:v>
                </c:pt>
              </c:numCache>
            </c:numRef>
          </c:val>
          <c:extLst>
            <c:ext xmlns:c16="http://schemas.microsoft.com/office/drawing/2014/chart" uri="{C3380CC4-5D6E-409C-BE32-E72D297353CC}">
              <c16:uniqueId val="{00000000-F8F4-427A-940E-A63FD1E8B921}"/>
            </c:ext>
          </c:extLst>
        </c:ser>
        <c:ser>
          <c:idx val="1"/>
          <c:order val="1"/>
          <c:spPr>
            <a:solidFill>
              <a:schemeClr val="bg2">
                <a:lumMod val="25000"/>
              </a:schemeClr>
            </a:solidFill>
            <a:ln>
              <a:noFill/>
            </a:ln>
            <a:effectLst/>
          </c:spPr>
          <c:invertIfNegative val="0"/>
          <c:val>
            <c:numRef>
              <c:f>'pivot table'!$S$12</c:f>
              <c:numCache>
                <c:formatCode>0%</c:formatCode>
                <c:ptCount val="1"/>
                <c:pt idx="0">
                  <c:v>0.84</c:v>
                </c:pt>
              </c:numCache>
            </c:numRef>
          </c:val>
          <c:extLst>
            <c:ext xmlns:c16="http://schemas.microsoft.com/office/drawing/2014/chart" uri="{C3380CC4-5D6E-409C-BE32-E72D297353CC}">
              <c16:uniqueId val="{00000001-F8F4-427A-940E-A63FD1E8B921}"/>
            </c:ext>
          </c:extLst>
        </c:ser>
        <c:dLbls>
          <c:showLegendKey val="0"/>
          <c:showVal val="0"/>
          <c:showCatName val="0"/>
          <c:showSerName val="0"/>
          <c:showPercent val="0"/>
          <c:showBubbleSize val="0"/>
        </c:dLbls>
        <c:gapWidth val="150"/>
        <c:overlap val="100"/>
        <c:axId val="1009938544"/>
        <c:axId val="1009939024"/>
      </c:barChart>
      <c:catAx>
        <c:axId val="1009938544"/>
        <c:scaling>
          <c:orientation val="minMax"/>
        </c:scaling>
        <c:delete val="1"/>
        <c:axPos val="l"/>
        <c:numFmt formatCode="General" sourceLinked="1"/>
        <c:majorTickMark val="none"/>
        <c:minorTickMark val="none"/>
        <c:tickLblPos val="nextTo"/>
        <c:crossAx val="1009939024"/>
        <c:crosses val="autoZero"/>
        <c:auto val="1"/>
        <c:lblAlgn val="ctr"/>
        <c:lblOffset val="100"/>
        <c:noMultiLvlLbl val="0"/>
      </c:catAx>
      <c:valAx>
        <c:axId val="1009939024"/>
        <c:scaling>
          <c:orientation val="minMax"/>
        </c:scaling>
        <c:delete val="1"/>
        <c:axPos val="b"/>
        <c:numFmt formatCode="0%" sourceLinked="1"/>
        <c:majorTickMark val="none"/>
        <c:minorTickMark val="none"/>
        <c:tickLblPos val="nextTo"/>
        <c:crossAx val="100993854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0.12346167971253486"/>
          <c:w val="1"/>
          <c:h val="0.87653832028746514"/>
        </c:manualLayout>
      </c:layout>
      <c:barChart>
        <c:barDir val="bar"/>
        <c:grouping val="stacked"/>
        <c:varyColors val="0"/>
        <c:ser>
          <c:idx val="0"/>
          <c:order val="0"/>
          <c:spPr>
            <a:solidFill>
              <a:srgbClr val="FFC000"/>
            </a:solidFill>
            <a:ln>
              <a:noFill/>
            </a:ln>
            <a:effectLst/>
          </c:spPr>
          <c:invertIfNegative val="0"/>
          <c:val>
            <c:numRef>
              <c:f>'pivot table'!$R$13</c:f>
              <c:numCache>
                <c:formatCode>0%</c:formatCode>
                <c:ptCount val="1"/>
                <c:pt idx="0">
                  <c:v>0.38</c:v>
                </c:pt>
              </c:numCache>
            </c:numRef>
          </c:val>
          <c:extLst>
            <c:ext xmlns:c16="http://schemas.microsoft.com/office/drawing/2014/chart" uri="{C3380CC4-5D6E-409C-BE32-E72D297353CC}">
              <c16:uniqueId val="{00000000-131E-4F18-BD40-CB0F951CA4AF}"/>
            </c:ext>
          </c:extLst>
        </c:ser>
        <c:ser>
          <c:idx val="1"/>
          <c:order val="1"/>
          <c:spPr>
            <a:solidFill>
              <a:schemeClr val="bg2">
                <a:lumMod val="25000"/>
              </a:schemeClr>
            </a:solidFill>
            <a:ln>
              <a:noFill/>
            </a:ln>
            <a:effectLst/>
          </c:spPr>
          <c:invertIfNegative val="0"/>
          <c:val>
            <c:numRef>
              <c:f>'pivot table'!$S$13</c:f>
              <c:numCache>
                <c:formatCode>0%</c:formatCode>
                <c:ptCount val="1"/>
                <c:pt idx="0">
                  <c:v>0.62</c:v>
                </c:pt>
              </c:numCache>
            </c:numRef>
          </c:val>
          <c:extLst>
            <c:ext xmlns:c16="http://schemas.microsoft.com/office/drawing/2014/chart" uri="{C3380CC4-5D6E-409C-BE32-E72D297353CC}">
              <c16:uniqueId val="{00000001-131E-4F18-BD40-CB0F951CA4AF}"/>
            </c:ext>
          </c:extLst>
        </c:ser>
        <c:dLbls>
          <c:showLegendKey val="0"/>
          <c:showVal val="0"/>
          <c:showCatName val="0"/>
          <c:showSerName val="0"/>
          <c:showPercent val="0"/>
          <c:showBubbleSize val="0"/>
        </c:dLbls>
        <c:gapWidth val="150"/>
        <c:overlap val="100"/>
        <c:axId val="208117696"/>
        <c:axId val="208122496"/>
      </c:barChart>
      <c:catAx>
        <c:axId val="208117696"/>
        <c:scaling>
          <c:orientation val="minMax"/>
        </c:scaling>
        <c:delete val="1"/>
        <c:axPos val="l"/>
        <c:numFmt formatCode="General" sourceLinked="1"/>
        <c:majorTickMark val="none"/>
        <c:minorTickMark val="none"/>
        <c:tickLblPos val="nextTo"/>
        <c:crossAx val="208122496"/>
        <c:crosses val="autoZero"/>
        <c:auto val="1"/>
        <c:lblAlgn val="ctr"/>
        <c:lblOffset val="100"/>
        <c:noMultiLvlLbl val="0"/>
      </c:catAx>
      <c:valAx>
        <c:axId val="208122496"/>
        <c:scaling>
          <c:orientation val="minMax"/>
        </c:scaling>
        <c:delete val="1"/>
        <c:axPos val="b"/>
        <c:numFmt formatCode="0%" sourceLinked="1"/>
        <c:majorTickMark val="none"/>
        <c:minorTickMark val="none"/>
        <c:tickLblPos val="nextTo"/>
        <c:crossAx val="20811769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2135656759448046E-4"/>
          <c:y val="0.19564271748636633"/>
          <c:w val="0.99927875214256456"/>
          <c:h val="0.80435799363356608"/>
        </c:manualLayout>
      </c:layout>
      <c:barChart>
        <c:barDir val="bar"/>
        <c:grouping val="percentStacked"/>
        <c:varyColors val="0"/>
        <c:ser>
          <c:idx val="0"/>
          <c:order val="0"/>
          <c:spPr>
            <a:solidFill>
              <a:srgbClr val="FFC000"/>
            </a:solidFill>
            <a:ln>
              <a:noFill/>
            </a:ln>
            <a:effectLst/>
          </c:spPr>
          <c:invertIfNegative val="0"/>
          <c:val>
            <c:numRef>
              <c:f>'pivot table'!$R$11</c:f>
              <c:numCache>
                <c:formatCode>0%</c:formatCode>
                <c:ptCount val="1"/>
                <c:pt idx="0">
                  <c:v>0.46</c:v>
                </c:pt>
              </c:numCache>
            </c:numRef>
          </c:val>
          <c:extLst>
            <c:ext xmlns:c16="http://schemas.microsoft.com/office/drawing/2014/chart" uri="{C3380CC4-5D6E-409C-BE32-E72D297353CC}">
              <c16:uniqueId val="{00000000-1DE2-40B4-B2F8-044D0F81F4D8}"/>
            </c:ext>
          </c:extLst>
        </c:ser>
        <c:ser>
          <c:idx val="1"/>
          <c:order val="1"/>
          <c:spPr>
            <a:noFill/>
            <a:ln>
              <a:noFill/>
            </a:ln>
            <a:effectLst/>
          </c:spPr>
          <c:invertIfNegative val="0"/>
          <c:dPt>
            <c:idx val="0"/>
            <c:invertIfNegative val="0"/>
            <c:bubble3D val="0"/>
            <c:spPr>
              <a:solidFill>
                <a:schemeClr val="bg2">
                  <a:lumMod val="25000"/>
                </a:schemeClr>
              </a:solidFill>
              <a:ln>
                <a:noFill/>
              </a:ln>
              <a:effectLst/>
            </c:spPr>
            <c:extLst>
              <c:ext xmlns:c16="http://schemas.microsoft.com/office/drawing/2014/chart" uri="{C3380CC4-5D6E-409C-BE32-E72D297353CC}">
                <c16:uniqueId val="{00000002-1DE2-40B4-B2F8-044D0F81F4D8}"/>
              </c:ext>
            </c:extLst>
          </c:dPt>
          <c:val>
            <c:numRef>
              <c:f>'pivot table'!$S$11</c:f>
              <c:numCache>
                <c:formatCode>0%</c:formatCode>
                <c:ptCount val="1"/>
                <c:pt idx="0">
                  <c:v>0.54</c:v>
                </c:pt>
              </c:numCache>
            </c:numRef>
          </c:val>
          <c:extLst>
            <c:ext xmlns:c16="http://schemas.microsoft.com/office/drawing/2014/chart" uri="{C3380CC4-5D6E-409C-BE32-E72D297353CC}">
              <c16:uniqueId val="{00000001-1DE2-40B4-B2F8-044D0F81F4D8}"/>
            </c:ext>
          </c:extLst>
        </c:ser>
        <c:dLbls>
          <c:showLegendKey val="0"/>
          <c:showVal val="0"/>
          <c:showCatName val="0"/>
          <c:showSerName val="0"/>
          <c:showPercent val="0"/>
          <c:showBubbleSize val="0"/>
        </c:dLbls>
        <c:gapWidth val="150"/>
        <c:overlap val="100"/>
        <c:axId val="738436704"/>
        <c:axId val="738437184"/>
      </c:barChart>
      <c:catAx>
        <c:axId val="738436704"/>
        <c:scaling>
          <c:orientation val="minMax"/>
        </c:scaling>
        <c:delete val="1"/>
        <c:axPos val="l"/>
        <c:numFmt formatCode="General" sourceLinked="1"/>
        <c:majorTickMark val="none"/>
        <c:minorTickMark val="none"/>
        <c:tickLblPos val="nextTo"/>
        <c:crossAx val="738437184"/>
        <c:crosses val="autoZero"/>
        <c:auto val="1"/>
        <c:lblAlgn val="ctr"/>
        <c:lblOffset val="100"/>
        <c:noMultiLvlLbl val="0"/>
      </c:catAx>
      <c:valAx>
        <c:axId val="738437184"/>
        <c:scaling>
          <c:orientation val="minMax"/>
        </c:scaling>
        <c:delete val="1"/>
        <c:axPos val="b"/>
        <c:numFmt formatCode="0%" sourceLinked="1"/>
        <c:majorTickMark val="none"/>
        <c:minorTickMark val="none"/>
        <c:tickLblPos val="nextTo"/>
        <c:crossAx val="73843670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1063536544831463"/>
          <c:y val="0.13467592592592595"/>
          <c:w val="0.57872955563960615"/>
          <c:h val="0.73627260134149886"/>
        </c:manualLayout>
      </c:layout>
      <c:doughnutChart>
        <c:varyColors val="1"/>
        <c:ser>
          <c:idx val="0"/>
          <c:order val="0"/>
          <c:dPt>
            <c:idx val="0"/>
            <c:bubble3D val="0"/>
            <c:spPr>
              <a:solidFill>
                <a:schemeClr val="bg2"/>
              </a:solidFill>
              <a:ln w="19050">
                <a:solidFill>
                  <a:schemeClr val="lt1"/>
                </a:solidFill>
              </a:ln>
              <a:effectLst/>
            </c:spPr>
            <c:extLst>
              <c:ext xmlns:c16="http://schemas.microsoft.com/office/drawing/2014/chart" uri="{C3380CC4-5D6E-409C-BE32-E72D297353CC}">
                <c16:uniqueId val="{00000001-BC63-4F24-91E0-CB9A3F182BC4}"/>
              </c:ext>
            </c:extLst>
          </c:dPt>
          <c:dPt>
            <c:idx val="1"/>
            <c:bubble3D val="0"/>
            <c:spPr>
              <a:solidFill>
                <a:srgbClr val="1F1F1F"/>
              </a:solidFill>
              <a:ln w="19050">
                <a:noFill/>
              </a:ln>
              <a:effectLst/>
            </c:spPr>
            <c:extLst>
              <c:ext xmlns:c16="http://schemas.microsoft.com/office/drawing/2014/chart" uri="{C3380CC4-5D6E-409C-BE32-E72D297353CC}">
                <c16:uniqueId val="{00000003-BC63-4F24-91E0-CB9A3F182BC4}"/>
              </c:ext>
            </c:extLst>
          </c:dPt>
          <c:dLbls>
            <c:delete val="1"/>
          </c:dLbls>
          <c:val>
            <c:numRef>
              <c:f>'pivot table'!$L$19:$M$19</c:f>
              <c:numCache>
                <c:formatCode>0%</c:formatCode>
                <c:ptCount val="2"/>
                <c:pt idx="0">
                  <c:v>0.48</c:v>
                </c:pt>
                <c:pt idx="1">
                  <c:v>0.52</c:v>
                </c:pt>
              </c:numCache>
            </c:numRef>
          </c:val>
          <c:extLst>
            <c:ext xmlns:c16="http://schemas.microsoft.com/office/drawing/2014/chart" uri="{C3380CC4-5D6E-409C-BE32-E72D297353CC}">
              <c16:uniqueId val="{00000004-BC63-4F24-91E0-CB9A3F182BC4}"/>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875757575757578"/>
          <c:y val="0.23331456456456456"/>
          <c:w val="0.65742915526774903"/>
          <c:h val="0.60794474403196741"/>
        </c:manualLayout>
      </c:layout>
      <c:doughnutChart>
        <c:varyColors val="1"/>
        <c:ser>
          <c:idx val="0"/>
          <c:order val="0"/>
          <c:dPt>
            <c:idx val="0"/>
            <c:bubble3D val="0"/>
            <c:spPr>
              <a:solidFill>
                <a:srgbClr val="FFC000"/>
              </a:solidFill>
              <a:ln w="19050">
                <a:noFill/>
              </a:ln>
              <a:effectLst/>
            </c:spPr>
            <c:extLst>
              <c:ext xmlns:c16="http://schemas.microsoft.com/office/drawing/2014/chart" uri="{C3380CC4-5D6E-409C-BE32-E72D297353CC}">
                <c16:uniqueId val="{00000001-8DA0-4E2B-98BC-28A83C22C716}"/>
              </c:ext>
            </c:extLst>
          </c:dPt>
          <c:dPt>
            <c:idx val="1"/>
            <c:bubble3D val="0"/>
            <c:spPr>
              <a:solidFill>
                <a:srgbClr val="1F1F1F"/>
              </a:solidFill>
              <a:ln w="19050">
                <a:noFill/>
              </a:ln>
              <a:effectLst/>
            </c:spPr>
            <c:extLst>
              <c:ext xmlns:c16="http://schemas.microsoft.com/office/drawing/2014/chart" uri="{C3380CC4-5D6E-409C-BE32-E72D297353CC}">
                <c16:uniqueId val="{00000003-8DA0-4E2B-98BC-28A83C22C716}"/>
              </c:ext>
            </c:extLst>
          </c:dPt>
          <c:val>
            <c:numRef>
              <c:f>'pivot table'!$L$18:$M$18</c:f>
              <c:numCache>
                <c:formatCode>0%</c:formatCode>
                <c:ptCount val="2"/>
                <c:pt idx="0">
                  <c:v>0.52</c:v>
                </c:pt>
                <c:pt idx="1">
                  <c:v>0.48</c:v>
                </c:pt>
              </c:numCache>
            </c:numRef>
          </c:val>
          <c:extLst>
            <c:ext xmlns:c16="http://schemas.microsoft.com/office/drawing/2014/chart" uri="{C3380CC4-5D6E-409C-BE32-E72D297353CC}">
              <c16:uniqueId val="{00000004-8DA0-4E2B-98BC-28A83C22C716}"/>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2222222222222215E-2"/>
          <c:y val="8.4704542962828144E-2"/>
          <c:w val="0.84793283355448568"/>
          <c:h val="0.67003098419789697"/>
        </c:manualLayout>
      </c:layout>
      <c:barChart>
        <c:barDir val="col"/>
        <c:grouping val="clustered"/>
        <c:varyColors val="0"/>
        <c:ser>
          <c:idx val="0"/>
          <c:order val="0"/>
          <c:tx>
            <c:strRef>
              <c:f>'pivot table'!$F$12</c:f>
              <c:strCache>
                <c:ptCount val="1"/>
                <c:pt idx="0">
                  <c:v>Analyst</c:v>
                </c:pt>
              </c:strCache>
            </c:strRef>
          </c:tx>
          <c:spPr>
            <a:solidFill>
              <a:srgbClr val="7E3706"/>
            </a:solidFill>
            <a:ln>
              <a:noFill/>
            </a:ln>
            <a:effectLst/>
          </c:spPr>
          <c:invertIfNegative val="0"/>
          <c:val>
            <c:numRef>
              <c:f>'pivot table'!$H$12</c:f>
              <c:numCache>
                <c:formatCode>_ * #,##0_ ;_ * \-#,##0_ ;_ * "-"??_ ;_ @_ </c:formatCode>
                <c:ptCount val="1"/>
                <c:pt idx="0">
                  <c:v>28</c:v>
                </c:pt>
              </c:numCache>
            </c:numRef>
          </c:val>
          <c:extLst>
            <c:ext xmlns:c16="http://schemas.microsoft.com/office/drawing/2014/chart" uri="{C3380CC4-5D6E-409C-BE32-E72D297353CC}">
              <c16:uniqueId val="{00000000-D90A-4EB2-B761-A4C6D6F8BBE0}"/>
            </c:ext>
          </c:extLst>
        </c:ser>
        <c:ser>
          <c:idx val="1"/>
          <c:order val="1"/>
          <c:tx>
            <c:strRef>
              <c:f>'pivot table'!$F$13</c:f>
              <c:strCache>
                <c:ptCount val="1"/>
                <c:pt idx="0">
                  <c:v>Designer</c:v>
                </c:pt>
              </c:strCache>
            </c:strRef>
          </c:tx>
          <c:spPr>
            <a:solidFill>
              <a:schemeClr val="bg2">
                <a:lumMod val="50000"/>
              </a:schemeClr>
            </a:solidFill>
            <a:ln>
              <a:noFill/>
            </a:ln>
            <a:effectLst/>
          </c:spPr>
          <c:invertIfNegative val="0"/>
          <c:val>
            <c:numRef>
              <c:f>'pivot table'!$H$13</c:f>
              <c:numCache>
                <c:formatCode>_ * #,##0_ ;_ * \-#,##0_ ;_ * "-"??_ ;_ @_ </c:formatCode>
                <c:ptCount val="1"/>
                <c:pt idx="0">
                  <c:v>110</c:v>
                </c:pt>
              </c:numCache>
            </c:numRef>
          </c:val>
          <c:extLst>
            <c:ext xmlns:c16="http://schemas.microsoft.com/office/drawing/2014/chart" uri="{C3380CC4-5D6E-409C-BE32-E72D297353CC}">
              <c16:uniqueId val="{00000001-D90A-4EB2-B761-A4C6D6F8BBE0}"/>
            </c:ext>
          </c:extLst>
        </c:ser>
        <c:ser>
          <c:idx val="2"/>
          <c:order val="2"/>
          <c:tx>
            <c:strRef>
              <c:f>'pivot table'!$F$14</c:f>
              <c:strCache>
                <c:ptCount val="1"/>
                <c:pt idx="0">
                  <c:v>Developer</c:v>
                </c:pt>
              </c:strCache>
            </c:strRef>
          </c:tx>
          <c:spPr>
            <a:solidFill>
              <a:srgbClr val="808004"/>
            </a:solidFill>
            <a:ln>
              <a:noFill/>
            </a:ln>
            <a:effectLst/>
          </c:spPr>
          <c:invertIfNegative val="0"/>
          <c:val>
            <c:numRef>
              <c:f>'pivot table'!$H$14</c:f>
              <c:numCache>
                <c:formatCode>_ * #,##0_ ;_ * \-#,##0_ ;_ * "-"??_ ;_ @_ </c:formatCode>
                <c:ptCount val="1"/>
                <c:pt idx="0">
                  <c:v>104</c:v>
                </c:pt>
              </c:numCache>
            </c:numRef>
          </c:val>
          <c:extLst>
            <c:ext xmlns:c16="http://schemas.microsoft.com/office/drawing/2014/chart" uri="{C3380CC4-5D6E-409C-BE32-E72D297353CC}">
              <c16:uniqueId val="{00000002-D90A-4EB2-B761-A4C6D6F8BBE0}"/>
            </c:ext>
          </c:extLst>
        </c:ser>
        <c:ser>
          <c:idx val="3"/>
          <c:order val="3"/>
          <c:tx>
            <c:strRef>
              <c:f>'pivot table'!$F$15</c:f>
              <c:strCache>
                <c:ptCount val="1"/>
                <c:pt idx="0">
                  <c:v>HR Specialist</c:v>
                </c:pt>
              </c:strCache>
            </c:strRef>
          </c:tx>
          <c:spPr>
            <a:solidFill>
              <a:schemeClr val="bg1"/>
            </a:solidFill>
            <a:ln>
              <a:noFill/>
            </a:ln>
            <a:effectLst/>
          </c:spPr>
          <c:invertIfNegative val="0"/>
          <c:val>
            <c:numRef>
              <c:f>'pivot table'!$H$15</c:f>
              <c:numCache>
                <c:formatCode>_ * #,##0_ ;_ * \-#,##0_ ;_ * "-"??_ ;_ @_ </c:formatCode>
                <c:ptCount val="1"/>
                <c:pt idx="0">
                  <c:v>123</c:v>
                </c:pt>
              </c:numCache>
            </c:numRef>
          </c:val>
          <c:extLst>
            <c:ext xmlns:c16="http://schemas.microsoft.com/office/drawing/2014/chart" uri="{C3380CC4-5D6E-409C-BE32-E72D297353CC}">
              <c16:uniqueId val="{00000003-D90A-4EB2-B761-A4C6D6F8BBE0}"/>
            </c:ext>
          </c:extLst>
        </c:ser>
        <c:ser>
          <c:idx val="4"/>
          <c:order val="4"/>
          <c:tx>
            <c:strRef>
              <c:f>'pivot table'!$F$16</c:f>
              <c:strCache>
                <c:ptCount val="1"/>
                <c:pt idx="0">
                  <c:v>Manager</c:v>
                </c:pt>
              </c:strCache>
            </c:strRef>
          </c:tx>
          <c:spPr>
            <a:solidFill>
              <a:srgbClr val="FFC000"/>
            </a:solidFill>
            <a:ln>
              <a:noFill/>
            </a:ln>
            <a:effectLst/>
          </c:spPr>
          <c:invertIfNegative val="0"/>
          <c:val>
            <c:numRef>
              <c:f>'pivot table'!$H$16</c:f>
              <c:numCache>
                <c:formatCode>_ * #,##0_ ;_ * \-#,##0_ ;_ * "-"??_ ;_ @_ </c:formatCode>
                <c:ptCount val="1"/>
                <c:pt idx="0">
                  <c:v>122</c:v>
                </c:pt>
              </c:numCache>
            </c:numRef>
          </c:val>
          <c:extLst>
            <c:ext xmlns:c16="http://schemas.microsoft.com/office/drawing/2014/chart" uri="{C3380CC4-5D6E-409C-BE32-E72D297353CC}">
              <c16:uniqueId val="{00000004-D90A-4EB2-B761-A4C6D6F8BBE0}"/>
            </c:ext>
          </c:extLst>
        </c:ser>
        <c:dLbls>
          <c:showLegendKey val="0"/>
          <c:showVal val="0"/>
          <c:showCatName val="0"/>
          <c:showSerName val="0"/>
          <c:showPercent val="0"/>
          <c:showBubbleSize val="0"/>
        </c:dLbls>
        <c:gapWidth val="219"/>
        <c:overlap val="-27"/>
        <c:axId val="344460448"/>
        <c:axId val="344458528"/>
      </c:barChart>
      <c:catAx>
        <c:axId val="344460448"/>
        <c:scaling>
          <c:orientation val="minMax"/>
        </c:scaling>
        <c:delete val="1"/>
        <c:axPos val="b"/>
        <c:numFmt formatCode="General" sourceLinked="1"/>
        <c:majorTickMark val="none"/>
        <c:minorTickMark val="none"/>
        <c:tickLblPos val="nextTo"/>
        <c:crossAx val="344458528"/>
        <c:crosses val="autoZero"/>
        <c:auto val="1"/>
        <c:lblAlgn val="ctr"/>
        <c:lblOffset val="100"/>
        <c:noMultiLvlLbl val="0"/>
      </c:catAx>
      <c:valAx>
        <c:axId val="344458528"/>
        <c:scaling>
          <c:orientation val="minMax"/>
        </c:scaling>
        <c:delete val="1"/>
        <c:axPos val="l"/>
        <c:majorGridlines>
          <c:spPr>
            <a:ln w="9525" cap="rnd" cmpd="sng" algn="ctr">
              <a:solidFill>
                <a:srgbClr val="FFC000">
                  <a:alpha val="35000"/>
                </a:srgbClr>
              </a:solidFill>
              <a:prstDash val="dashDot"/>
              <a:round/>
            </a:ln>
            <a:effectLst/>
          </c:spPr>
        </c:majorGridlines>
        <c:numFmt formatCode="_ * #,##0_ ;_ * \-#,##0_ ;_ * &quot;-&quot;??_ ;_ @_ " sourceLinked="1"/>
        <c:majorTickMark val="none"/>
        <c:minorTickMark val="none"/>
        <c:tickLblPos val="nextTo"/>
        <c:crossAx val="344460448"/>
        <c:crosses val="autoZero"/>
        <c:crossBetween val="between"/>
      </c:valAx>
      <c:spPr>
        <a:noFill/>
        <a:ln>
          <a:noFill/>
        </a:ln>
        <a:effectLst/>
      </c:spPr>
    </c:plotArea>
    <c:legend>
      <c:legendPos val="b"/>
      <c:layout>
        <c:manualLayout>
          <c:xMode val="edge"/>
          <c:yMode val="edge"/>
          <c:x val="0"/>
          <c:y val="0.79746369199644196"/>
          <c:w val="0.99580008565183098"/>
          <c:h val="0.19128489097742535"/>
        </c:manualLayout>
      </c:layout>
      <c:overlay val="0"/>
      <c:spPr>
        <a:noFill/>
        <a:ln>
          <a:noFill/>
        </a:ln>
        <a:effectLst/>
      </c:spPr>
      <c:txPr>
        <a:bodyPr rot="0" spcFirstLastPara="1" vertOverflow="ellipsis" vert="horz" wrap="square" anchor="ctr" anchorCtr="1"/>
        <a:lstStyle/>
        <a:p>
          <a:pPr>
            <a:defRPr sz="800" b="1" i="0" u="none" strike="noStrike" kern="1200" baseline="0">
              <a:solidFill>
                <a:schemeClr val="bg2"/>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1487765910113257"/>
          <c:y val="9.1066666405917443E-2"/>
          <c:w val="0.56358106837415489"/>
          <c:h val="0.87435817217517919"/>
        </c:manualLayout>
      </c:layout>
      <c:barChart>
        <c:barDir val="bar"/>
        <c:grouping val="clustered"/>
        <c:varyColors val="0"/>
        <c:ser>
          <c:idx val="0"/>
          <c:order val="0"/>
          <c:spPr>
            <a:solidFill>
              <a:schemeClr val="bg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chemeClr val="bg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table'!$Y$11:$Y$15</c:f>
              <c:strCache>
                <c:ptCount val="5"/>
                <c:pt idx="0">
                  <c:v>Central</c:v>
                </c:pt>
                <c:pt idx="1">
                  <c:v>East</c:v>
                </c:pt>
                <c:pt idx="2">
                  <c:v>North</c:v>
                </c:pt>
                <c:pt idx="3">
                  <c:v>South</c:v>
                </c:pt>
                <c:pt idx="4">
                  <c:v>West</c:v>
                </c:pt>
              </c:strCache>
            </c:strRef>
          </c:cat>
          <c:val>
            <c:numRef>
              <c:f>'pivot table'!$Z$11:$Z$15</c:f>
              <c:numCache>
                <c:formatCode>General</c:formatCode>
                <c:ptCount val="5"/>
                <c:pt idx="0">
                  <c:v>14</c:v>
                </c:pt>
                <c:pt idx="1">
                  <c:v>10</c:v>
                </c:pt>
                <c:pt idx="2">
                  <c:v>7</c:v>
                </c:pt>
                <c:pt idx="3">
                  <c:v>10</c:v>
                </c:pt>
                <c:pt idx="4">
                  <c:v>9</c:v>
                </c:pt>
              </c:numCache>
            </c:numRef>
          </c:val>
          <c:extLst>
            <c:ext xmlns:c16="http://schemas.microsoft.com/office/drawing/2014/chart" uri="{C3380CC4-5D6E-409C-BE32-E72D297353CC}">
              <c16:uniqueId val="{00000000-8B98-4EA7-B5F0-32C191C46205}"/>
            </c:ext>
          </c:extLst>
        </c:ser>
        <c:dLbls>
          <c:dLblPos val="outEnd"/>
          <c:showLegendKey val="0"/>
          <c:showVal val="1"/>
          <c:showCatName val="0"/>
          <c:showSerName val="0"/>
          <c:showPercent val="0"/>
          <c:showBubbleSize val="0"/>
        </c:dLbls>
        <c:gapWidth val="25"/>
        <c:axId val="208137376"/>
        <c:axId val="208139296"/>
      </c:barChart>
      <c:catAx>
        <c:axId val="20813737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1" i="0" u="none" strike="noStrike" kern="1200" baseline="0">
                <a:solidFill>
                  <a:schemeClr val="bg1"/>
                </a:solidFill>
                <a:latin typeface="+mn-lt"/>
                <a:ea typeface="+mn-ea"/>
                <a:cs typeface="+mn-cs"/>
              </a:defRPr>
            </a:pPr>
            <a:endParaRPr lang="en-US"/>
          </a:p>
        </c:txPr>
        <c:crossAx val="208139296"/>
        <c:crosses val="autoZero"/>
        <c:auto val="1"/>
        <c:lblAlgn val="ctr"/>
        <c:lblOffset val="100"/>
        <c:noMultiLvlLbl val="0"/>
      </c:catAx>
      <c:valAx>
        <c:axId val="208139296"/>
        <c:scaling>
          <c:orientation val="minMax"/>
        </c:scaling>
        <c:delete val="1"/>
        <c:axPos val="b"/>
        <c:numFmt formatCode="General" sourceLinked="1"/>
        <c:majorTickMark val="out"/>
        <c:minorTickMark val="none"/>
        <c:tickLblPos val="nextTo"/>
        <c:crossAx val="2081373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13" Type="http://schemas.openxmlformats.org/officeDocument/2006/relationships/image" Target="../media/image4.png"/><Relationship Id="rId3" Type="http://schemas.openxmlformats.org/officeDocument/2006/relationships/chart" Target="../charts/chart3.xml"/><Relationship Id="rId7" Type="http://schemas.openxmlformats.org/officeDocument/2006/relationships/image" Target="../media/image2.png"/><Relationship Id="rId12" Type="http://schemas.openxmlformats.org/officeDocument/2006/relationships/image" Target="../media/image3.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11" Type="http://schemas.openxmlformats.org/officeDocument/2006/relationships/chart" Target="../charts/chart9.xml"/><Relationship Id="rId5" Type="http://schemas.openxmlformats.org/officeDocument/2006/relationships/chart" Target="../charts/chart5.xml"/><Relationship Id="rId10" Type="http://schemas.openxmlformats.org/officeDocument/2006/relationships/chart" Target="../charts/chart8.xml"/><Relationship Id="rId4" Type="http://schemas.openxmlformats.org/officeDocument/2006/relationships/chart" Target="../charts/chart4.xml"/><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1</xdr:row>
      <xdr:rowOff>0</xdr:rowOff>
    </xdr:from>
    <xdr:to>
      <xdr:col>17</xdr:col>
      <xdr:colOff>76800</xdr:colOff>
      <xdr:row>34</xdr:row>
      <xdr:rowOff>0</xdr:rowOff>
    </xdr:to>
    <xdr:sp macro="" textlink="">
      <xdr:nvSpPr>
        <xdr:cNvPr id="2" name="Rectangle: Rounded Corners 1">
          <a:extLst>
            <a:ext uri="{FF2B5EF4-FFF2-40B4-BE49-F238E27FC236}">
              <a16:creationId xmlns:a16="http://schemas.microsoft.com/office/drawing/2014/main" id="{B4E3E979-0624-4C7D-834F-C007FF59EAB2}"/>
            </a:ext>
          </a:extLst>
        </xdr:cNvPr>
        <xdr:cNvSpPr/>
      </xdr:nvSpPr>
      <xdr:spPr>
        <a:xfrm>
          <a:off x="0" y="185159"/>
          <a:ext cx="10488426" cy="6117364"/>
        </a:xfrm>
        <a:prstGeom prst="roundRect">
          <a:avLst>
            <a:gd name="adj" fmla="val 4959"/>
          </a:avLst>
        </a:prstGeom>
        <a:solidFill>
          <a:srgbClr val="1F1F1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7620</xdr:colOff>
      <xdr:row>20</xdr:row>
      <xdr:rowOff>0</xdr:rowOff>
    </xdr:from>
    <xdr:to>
      <xdr:col>12</xdr:col>
      <xdr:colOff>0</xdr:colOff>
      <xdr:row>32</xdr:row>
      <xdr:rowOff>147718</xdr:rowOff>
    </xdr:to>
    <xdr:sp macro="" textlink="">
      <xdr:nvSpPr>
        <xdr:cNvPr id="86" name="Rectangle: Rounded Corners 85">
          <a:extLst>
            <a:ext uri="{FF2B5EF4-FFF2-40B4-BE49-F238E27FC236}">
              <a16:creationId xmlns:a16="http://schemas.microsoft.com/office/drawing/2014/main" id="{D602F92C-8320-482E-BCCC-AE91C829D085}"/>
            </a:ext>
          </a:extLst>
        </xdr:cNvPr>
        <xdr:cNvSpPr/>
      </xdr:nvSpPr>
      <xdr:spPr>
        <a:xfrm>
          <a:off x="4907209" y="3710299"/>
          <a:ext cx="2442174" cy="2369625"/>
        </a:xfrm>
        <a:prstGeom prst="roundRect">
          <a:avLst>
            <a:gd name="adj" fmla="val 6930"/>
          </a:avLst>
        </a:prstGeom>
        <a:solidFill>
          <a:srgbClr val="282828"/>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0</xdr:colOff>
      <xdr:row>24</xdr:row>
      <xdr:rowOff>0</xdr:rowOff>
    </xdr:from>
    <xdr:to>
      <xdr:col>11</xdr:col>
      <xdr:colOff>68580</xdr:colOff>
      <xdr:row>25</xdr:row>
      <xdr:rowOff>33120</xdr:rowOff>
    </xdr:to>
    <xdr:sp macro="" textlink="">
      <xdr:nvSpPr>
        <xdr:cNvPr id="115" name="Rectangle: Rounded Corners 114">
          <a:extLst>
            <a:ext uri="{FF2B5EF4-FFF2-40B4-BE49-F238E27FC236}">
              <a16:creationId xmlns:a16="http://schemas.microsoft.com/office/drawing/2014/main" id="{BEE9578F-8FA5-4924-B21E-826CEF407D7C}"/>
            </a:ext>
          </a:extLst>
        </xdr:cNvPr>
        <xdr:cNvSpPr/>
      </xdr:nvSpPr>
      <xdr:spPr>
        <a:xfrm>
          <a:off x="6096000" y="4396740"/>
          <a:ext cx="678180" cy="216000"/>
        </a:xfrm>
        <a:prstGeom prst="roundRect">
          <a:avLst/>
        </a:prstGeom>
        <a:solidFill>
          <a:srgbClr val="1F1F1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0</xdr:colOff>
      <xdr:row>26</xdr:row>
      <xdr:rowOff>137160</xdr:rowOff>
    </xdr:from>
    <xdr:to>
      <xdr:col>11</xdr:col>
      <xdr:colOff>68580</xdr:colOff>
      <xdr:row>27</xdr:row>
      <xdr:rowOff>170280</xdr:rowOff>
    </xdr:to>
    <xdr:sp macro="" textlink="">
      <xdr:nvSpPr>
        <xdr:cNvPr id="121" name="Rectangle: Rounded Corners 120">
          <a:extLst>
            <a:ext uri="{FF2B5EF4-FFF2-40B4-BE49-F238E27FC236}">
              <a16:creationId xmlns:a16="http://schemas.microsoft.com/office/drawing/2014/main" id="{78205E83-4D41-4CC3-B18D-9AF6F7FBCE0F}"/>
            </a:ext>
          </a:extLst>
        </xdr:cNvPr>
        <xdr:cNvSpPr/>
      </xdr:nvSpPr>
      <xdr:spPr>
        <a:xfrm>
          <a:off x="6096000" y="4899660"/>
          <a:ext cx="678180" cy="216000"/>
        </a:xfrm>
        <a:prstGeom prst="roundRect">
          <a:avLst/>
        </a:prstGeom>
        <a:solidFill>
          <a:srgbClr val="1F1F1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0</xdr:colOff>
      <xdr:row>28</xdr:row>
      <xdr:rowOff>0</xdr:rowOff>
    </xdr:from>
    <xdr:to>
      <xdr:col>11</xdr:col>
      <xdr:colOff>68580</xdr:colOff>
      <xdr:row>29</xdr:row>
      <xdr:rowOff>33120</xdr:rowOff>
    </xdr:to>
    <xdr:sp macro="" textlink="">
      <xdr:nvSpPr>
        <xdr:cNvPr id="122" name="Rectangle: Rounded Corners 121">
          <a:extLst>
            <a:ext uri="{FF2B5EF4-FFF2-40B4-BE49-F238E27FC236}">
              <a16:creationId xmlns:a16="http://schemas.microsoft.com/office/drawing/2014/main" id="{D3BC99B3-1D87-4C0B-81D3-AF6D6660849F}"/>
            </a:ext>
          </a:extLst>
        </xdr:cNvPr>
        <xdr:cNvSpPr/>
      </xdr:nvSpPr>
      <xdr:spPr>
        <a:xfrm>
          <a:off x="6096000" y="5128260"/>
          <a:ext cx="678180" cy="216000"/>
        </a:xfrm>
        <a:prstGeom prst="roundRect">
          <a:avLst/>
        </a:prstGeom>
        <a:solidFill>
          <a:srgbClr val="1F1F1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0</xdr:colOff>
      <xdr:row>29</xdr:row>
      <xdr:rowOff>99060</xdr:rowOff>
    </xdr:from>
    <xdr:to>
      <xdr:col>11</xdr:col>
      <xdr:colOff>68580</xdr:colOff>
      <xdr:row>30</xdr:row>
      <xdr:rowOff>132180</xdr:rowOff>
    </xdr:to>
    <xdr:sp macro="" textlink="">
      <xdr:nvSpPr>
        <xdr:cNvPr id="123" name="Rectangle: Rounded Corners 122">
          <a:extLst>
            <a:ext uri="{FF2B5EF4-FFF2-40B4-BE49-F238E27FC236}">
              <a16:creationId xmlns:a16="http://schemas.microsoft.com/office/drawing/2014/main" id="{6EB1500F-DEA2-4FF3-91A4-E041ABFB7577}"/>
            </a:ext>
          </a:extLst>
        </xdr:cNvPr>
        <xdr:cNvSpPr/>
      </xdr:nvSpPr>
      <xdr:spPr>
        <a:xfrm>
          <a:off x="6096000" y="5410200"/>
          <a:ext cx="678180" cy="216000"/>
        </a:xfrm>
        <a:prstGeom prst="roundRect">
          <a:avLst/>
        </a:prstGeom>
        <a:solidFill>
          <a:srgbClr val="1F1F1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0</xdr:colOff>
      <xdr:row>31</xdr:row>
      <xdr:rowOff>0</xdr:rowOff>
    </xdr:from>
    <xdr:to>
      <xdr:col>11</xdr:col>
      <xdr:colOff>68580</xdr:colOff>
      <xdr:row>32</xdr:row>
      <xdr:rowOff>33120</xdr:rowOff>
    </xdr:to>
    <xdr:sp macro="" textlink="">
      <xdr:nvSpPr>
        <xdr:cNvPr id="124" name="Rectangle: Rounded Corners 123">
          <a:extLst>
            <a:ext uri="{FF2B5EF4-FFF2-40B4-BE49-F238E27FC236}">
              <a16:creationId xmlns:a16="http://schemas.microsoft.com/office/drawing/2014/main" id="{BC1A58C0-729C-4681-ADE9-67701C9E75CC}"/>
            </a:ext>
          </a:extLst>
        </xdr:cNvPr>
        <xdr:cNvSpPr/>
      </xdr:nvSpPr>
      <xdr:spPr>
        <a:xfrm>
          <a:off x="6096000" y="5676900"/>
          <a:ext cx="678180" cy="216000"/>
        </a:xfrm>
        <a:prstGeom prst="roundRect">
          <a:avLst/>
        </a:prstGeom>
        <a:solidFill>
          <a:srgbClr val="1F1F1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0</xdr:colOff>
      <xdr:row>25</xdr:row>
      <xdr:rowOff>53340</xdr:rowOff>
    </xdr:from>
    <xdr:to>
      <xdr:col>11</xdr:col>
      <xdr:colOff>68580</xdr:colOff>
      <xdr:row>26</xdr:row>
      <xdr:rowOff>86460</xdr:rowOff>
    </xdr:to>
    <xdr:sp macro="" textlink="">
      <xdr:nvSpPr>
        <xdr:cNvPr id="125" name="Rectangle: Rounded Corners 124">
          <a:extLst>
            <a:ext uri="{FF2B5EF4-FFF2-40B4-BE49-F238E27FC236}">
              <a16:creationId xmlns:a16="http://schemas.microsoft.com/office/drawing/2014/main" id="{30E50336-2E42-464E-B0C4-6CE3190DEF2D}"/>
            </a:ext>
          </a:extLst>
        </xdr:cNvPr>
        <xdr:cNvSpPr/>
      </xdr:nvSpPr>
      <xdr:spPr>
        <a:xfrm>
          <a:off x="6096000" y="4632960"/>
          <a:ext cx="678180" cy="216000"/>
        </a:xfrm>
        <a:prstGeom prst="roundRect">
          <a:avLst/>
        </a:prstGeom>
        <a:solidFill>
          <a:srgbClr val="1F1F1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592380</xdr:colOff>
      <xdr:row>29</xdr:row>
      <xdr:rowOff>60960</xdr:rowOff>
    </xdr:from>
    <xdr:to>
      <xdr:col>11</xdr:col>
      <xdr:colOff>211380</xdr:colOff>
      <xdr:row>30</xdr:row>
      <xdr:rowOff>167640</xdr:rowOff>
    </xdr:to>
    <xdr:sp macro="" textlink="'pivot table'!G13">
      <xdr:nvSpPr>
        <xdr:cNvPr id="98" name="TextBox 97">
          <a:extLst>
            <a:ext uri="{FF2B5EF4-FFF2-40B4-BE49-F238E27FC236}">
              <a16:creationId xmlns:a16="http://schemas.microsoft.com/office/drawing/2014/main" id="{67B79391-681F-1EC7-D6FD-D1C85D1DF4C1}"/>
            </a:ext>
          </a:extLst>
        </xdr:cNvPr>
        <xdr:cNvSpPr txBox="1"/>
      </xdr:nvSpPr>
      <xdr:spPr>
        <a:xfrm>
          <a:off x="6078780" y="5372100"/>
          <a:ext cx="83820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B3E252F1-2E97-48F5-8529-C35DB31A92EC}" type="TxLink">
            <a:rPr lang="en-US" sz="1100" b="0" i="0" u="none" strike="noStrike">
              <a:solidFill>
                <a:schemeClr val="bg1"/>
              </a:solidFill>
              <a:latin typeface="Aptos Narrow"/>
              <a:ea typeface="+mn-ea"/>
              <a:cs typeface="+mn-cs"/>
            </a:rPr>
            <a:t> 6,13,842 </a:t>
          </a:fld>
          <a:endParaRPr lang="en-IN" sz="1200">
            <a:solidFill>
              <a:schemeClr val="bg1"/>
            </a:solidFill>
            <a:latin typeface="+mn-lt"/>
            <a:ea typeface="+mn-ea"/>
            <a:cs typeface="+mn-cs"/>
          </a:endParaRPr>
        </a:p>
      </xdr:txBody>
    </xdr:sp>
    <xdr:clientData/>
  </xdr:twoCellAnchor>
  <xdr:twoCellAnchor>
    <xdr:from>
      <xdr:col>10</xdr:col>
      <xdr:colOff>0</xdr:colOff>
      <xdr:row>24</xdr:row>
      <xdr:rowOff>0</xdr:rowOff>
    </xdr:from>
    <xdr:to>
      <xdr:col>12</xdr:col>
      <xdr:colOff>0</xdr:colOff>
      <xdr:row>25</xdr:row>
      <xdr:rowOff>91440</xdr:rowOff>
    </xdr:to>
    <xdr:sp macro="" textlink="'pivot table'!G17">
      <xdr:nvSpPr>
        <xdr:cNvPr id="94" name="TextBox 93">
          <a:extLst>
            <a:ext uri="{FF2B5EF4-FFF2-40B4-BE49-F238E27FC236}">
              <a16:creationId xmlns:a16="http://schemas.microsoft.com/office/drawing/2014/main" id="{9EF10A9D-F760-EB3F-4E0E-994D8C6D65CD}"/>
            </a:ext>
          </a:extLst>
        </xdr:cNvPr>
        <xdr:cNvSpPr txBox="1"/>
      </xdr:nvSpPr>
      <xdr:spPr>
        <a:xfrm>
          <a:off x="6096000" y="4396740"/>
          <a:ext cx="1219200" cy="2743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BC9710A9-B504-418D-B6B6-7F6E75835C05}" type="TxLink">
            <a:rPr lang="en-US" sz="1050" b="0" i="0" u="none" strike="noStrike">
              <a:solidFill>
                <a:schemeClr val="bg1"/>
              </a:solidFill>
              <a:latin typeface="Aptos Narrow"/>
              <a:ea typeface="+mn-ea"/>
              <a:cs typeface="+mn-cs"/>
            </a:rPr>
            <a:pPr marL="0" indent="0" algn="l"/>
            <a:t> 31,04,913 </a:t>
          </a:fld>
          <a:endParaRPr lang="en-IN" sz="1050">
            <a:solidFill>
              <a:schemeClr val="bg1"/>
            </a:solidFill>
            <a:latin typeface="+mn-lt"/>
            <a:ea typeface="+mn-ea"/>
            <a:cs typeface="+mn-cs"/>
          </a:endParaRPr>
        </a:p>
      </xdr:txBody>
    </xdr:sp>
    <xdr:clientData/>
  </xdr:twoCellAnchor>
  <xdr:twoCellAnchor>
    <xdr:from>
      <xdr:col>10</xdr:col>
      <xdr:colOff>0</xdr:colOff>
      <xdr:row>25</xdr:row>
      <xdr:rowOff>53340</xdr:rowOff>
    </xdr:from>
    <xdr:to>
      <xdr:col>12</xdr:col>
      <xdr:colOff>0</xdr:colOff>
      <xdr:row>26</xdr:row>
      <xdr:rowOff>144780</xdr:rowOff>
    </xdr:to>
    <xdr:sp macro="" textlink="'pivot table'!G16">
      <xdr:nvSpPr>
        <xdr:cNvPr id="95" name="TextBox 94">
          <a:extLst>
            <a:ext uri="{FF2B5EF4-FFF2-40B4-BE49-F238E27FC236}">
              <a16:creationId xmlns:a16="http://schemas.microsoft.com/office/drawing/2014/main" id="{19881890-2B86-76FA-840E-97A13FB040F8}"/>
            </a:ext>
          </a:extLst>
        </xdr:cNvPr>
        <xdr:cNvSpPr txBox="1"/>
      </xdr:nvSpPr>
      <xdr:spPr>
        <a:xfrm>
          <a:off x="6096000" y="4632960"/>
          <a:ext cx="1219200" cy="2743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DDBBC822-837E-4813-AC27-CFD4B0AAC6A6}" type="TxLink">
            <a:rPr lang="en-US" sz="1100" b="0" i="0" u="none" strike="noStrike">
              <a:solidFill>
                <a:schemeClr val="bg1"/>
              </a:solidFill>
              <a:latin typeface="Aptos Narrow"/>
              <a:ea typeface="+mn-ea"/>
              <a:cs typeface="+mn-cs"/>
            </a:rPr>
            <a:t> 7,31,170 </a:t>
          </a:fld>
          <a:endParaRPr lang="en-IN" sz="1200">
            <a:solidFill>
              <a:schemeClr val="bg1"/>
            </a:solidFill>
            <a:latin typeface="+mn-lt"/>
            <a:ea typeface="+mn-ea"/>
            <a:cs typeface="+mn-cs"/>
          </a:endParaRPr>
        </a:p>
      </xdr:txBody>
    </xdr:sp>
    <xdr:clientData/>
  </xdr:twoCellAnchor>
  <xdr:twoCellAnchor>
    <xdr:from>
      <xdr:col>9</xdr:col>
      <xdr:colOff>592380</xdr:colOff>
      <xdr:row>26</xdr:row>
      <xdr:rowOff>137160</xdr:rowOff>
    </xdr:from>
    <xdr:to>
      <xdr:col>11</xdr:col>
      <xdr:colOff>592380</xdr:colOff>
      <xdr:row>28</xdr:row>
      <xdr:rowOff>60960</xdr:rowOff>
    </xdr:to>
    <xdr:sp macro="" textlink="'pivot table'!G15">
      <xdr:nvSpPr>
        <xdr:cNvPr id="96" name="TextBox 95">
          <a:extLst>
            <a:ext uri="{FF2B5EF4-FFF2-40B4-BE49-F238E27FC236}">
              <a16:creationId xmlns:a16="http://schemas.microsoft.com/office/drawing/2014/main" id="{6C14908F-47C7-BBA4-6410-319C1AE265D5}"/>
            </a:ext>
          </a:extLst>
        </xdr:cNvPr>
        <xdr:cNvSpPr txBox="1"/>
      </xdr:nvSpPr>
      <xdr:spPr>
        <a:xfrm>
          <a:off x="6078780" y="4899660"/>
          <a:ext cx="121920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A04A9A66-9F0F-4DA8-8A2C-A4AAE537ECE9}" type="TxLink">
            <a:rPr lang="en-US" sz="1100" b="0" i="0" u="none" strike="noStrike">
              <a:solidFill>
                <a:schemeClr val="bg1"/>
              </a:solidFill>
              <a:latin typeface="Aptos Narrow"/>
              <a:ea typeface="+mn-ea"/>
              <a:cs typeface="+mn-cs"/>
            </a:rPr>
            <a:t> 9,59,266 </a:t>
          </a:fld>
          <a:endParaRPr lang="en-IN" sz="1200">
            <a:solidFill>
              <a:schemeClr val="bg1"/>
            </a:solidFill>
            <a:latin typeface="+mn-lt"/>
            <a:ea typeface="+mn-ea"/>
            <a:cs typeface="+mn-cs"/>
          </a:endParaRPr>
        </a:p>
      </xdr:txBody>
    </xdr:sp>
    <xdr:clientData/>
  </xdr:twoCellAnchor>
  <xdr:twoCellAnchor>
    <xdr:from>
      <xdr:col>9</xdr:col>
      <xdr:colOff>592380</xdr:colOff>
      <xdr:row>27</xdr:row>
      <xdr:rowOff>167640</xdr:rowOff>
    </xdr:from>
    <xdr:to>
      <xdr:col>11</xdr:col>
      <xdr:colOff>592380</xdr:colOff>
      <xdr:row>29</xdr:row>
      <xdr:rowOff>76200</xdr:rowOff>
    </xdr:to>
    <xdr:sp macro="" textlink="'pivot table'!G14">
      <xdr:nvSpPr>
        <xdr:cNvPr id="97" name="TextBox 96">
          <a:extLst>
            <a:ext uri="{FF2B5EF4-FFF2-40B4-BE49-F238E27FC236}">
              <a16:creationId xmlns:a16="http://schemas.microsoft.com/office/drawing/2014/main" id="{EEB8936E-241E-E423-4BF2-FD5677C322F6}"/>
            </a:ext>
          </a:extLst>
        </xdr:cNvPr>
        <xdr:cNvSpPr txBox="1"/>
      </xdr:nvSpPr>
      <xdr:spPr>
        <a:xfrm>
          <a:off x="6078780" y="5113020"/>
          <a:ext cx="1219200" cy="2743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33199707-2DE2-49D9-9151-EBB371FF39A9}" type="TxLink">
            <a:rPr lang="en-US" sz="1100" b="0" i="0" u="none" strike="noStrike" baseline="0">
              <a:solidFill>
                <a:schemeClr val="bg1"/>
              </a:solidFill>
              <a:latin typeface="Aptos Narrow"/>
              <a:ea typeface="+mn-ea"/>
              <a:cs typeface="+mn-cs"/>
            </a:rPr>
            <a:t> 6,33,594 </a:t>
          </a:fld>
          <a:endParaRPr lang="en-IN" sz="1200" baseline="0">
            <a:solidFill>
              <a:schemeClr val="bg1"/>
            </a:solidFill>
            <a:latin typeface="+mn-lt"/>
            <a:ea typeface="+mn-ea"/>
            <a:cs typeface="+mn-cs"/>
          </a:endParaRPr>
        </a:p>
      </xdr:txBody>
    </xdr:sp>
    <xdr:clientData/>
  </xdr:twoCellAnchor>
  <xdr:twoCellAnchor>
    <xdr:from>
      <xdr:col>9</xdr:col>
      <xdr:colOff>592380</xdr:colOff>
      <xdr:row>30</xdr:row>
      <xdr:rowOff>137160</xdr:rowOff>
    </xdr:from>
    <xdr:to>
      <xdr:col>11</xdr:col>
      <xdr:colOff>592380</xdr:colOff>
      <xdr:row>32</xdr:row>
      <xdr:rowOff>121920</xdr:rowOff>
    </xdr:to>
    <xdr:sp macro="" textlink="'pivot table'!G12">
      <xdr:nvSpPr>
        <xdr:cNvPr id="99" name="TextBox 98">
          <a:extLst>
            <a:ext uri="{FF2B5EF4-FFF2-40B4-BE49-F238E27FC236}">
              <a16:creationId xmlns:a16="http://schemas.microsoft.com/office/drawing/2014/main" id="{CB959FDA-E79E-66D5-D496-7BE2B02830CD}"/>
            </a:ext>
          </a:extLst>
        </xdr:cNvPr>
        <xdr:cNvSpPr txBox="1"/>
      </xdr:nvSpPr>
      <xdr:spPr>
        <a:xfrm>
          <a:off x="6078780" y="5631180"/>
          <a:ext cx="1219200"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3F5AB441-5C40-45B1-ADA2-EA3F3A334B90}" type="TxLink">
            <a:rPr lang="en-US" sz="1100" b="0" i="0" u="none" strike="noStrike">
              <a:solidFill>
                <a:schemeClr val="bg1"/>
              </a:solidFill>
              <a:latin typeface="Aptos Narrow"/>
              <a:ea typeface="+mn-ea"/>
              <a:cs typeface="+mn-cs"/>
            </a:rPr>
            <a:t> 1,67,041 </a:t>
          </a:fld>
          <a:endParaRPr lang="en-IN" sz="1200">
            <a:solidFill>
              <a:schemeClr val="bg1"/>
            </a:solidFill>
            <a:latin typeface="+mn-lt"/>
            <a:ea typeface="+mn-ea"/>
            <a:cs typeface="+mn-cs"/>
          </a:endParaRPr>
        </a:p>
      </xdr:txBody>
    </xdr:sp>
    <xdr:clientData/>
  </xdr:twoCellAnchor>
  <xdr:twoCellAnchor>
    <xdr:from>
      <xdr:col>0</xdr:col>
      <xdr:colOff>0</xdr:colOff>
      <xdr:row>22</xdr:row>
      <xdr:rowOff>128501</xdr:rowOff>
    </xdr:from>
    <xdr:to>
      <xdr:col>3</xdr:col>
      <xdr:colOff>79200</xdr:colOff>
      <xdr:row>32</xdr:row>
      <xdr:rowOff>99700</xdr:rowOff>
    </xdr:to>
    <xdr:sp macro="" textlink="">
      <xdr:nvSpPr>
        <xdr:cNvPr id="3" name="Rectangle: Rounded Corners 2">
          <a:extLst>
            <a:ext uri="{FF2B5EF4-FFF2-40B4-BE49-F238E27FC236}">
              <a16:creationId xmlns:a16="http://schemas.microsoft.com/office/drawing/2014/main" id="{7CF98D43-4E1B-4D54-BE42-12B9AC7A8A69}"/>
            </a:ext>
          </a:extLst>
        </xdr:cNvPr>
        <xdr:cNvSpPr/>
      </xdr:nvSpPr>
      <xdr:spPr>
        <a:xfrm>
          <a:off x="0" y="4209118"/>
          <a:ext cx="1916546" cy="1822788"/>
        </a:xfrm>
        <a:prstGeom prst="roundRect">
          <a:avLst>
            <a:gd name="adj" fmla="val 6930"/>
          </a:avLst>
        </a:prstGeom>
        <a:solidFill>
          <a:srgbClr val="282828"/>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0</xdr:colOff>
      <xdr:row>6</xdr:row>
      <xdr:rowOff>0</xdr:rowOff>
    </xdr:from>
    <xdr:to>
      <xdr:col>3</xdr:col>
      <xdr:colOff>79200</xdr:colOff>
      <xdr:row>22</xdr:row>
      <xdr:rowOff>99701</xdr:rowOff>
    </xdr:to>
    <xdr:sp macro="" textlink="">
      <xdr:nvSpPr>
        <xdr:cNvPr id="4" name="Rectangle: Rounded Corners 3">
          <a:extLst>
            <a:ext uri="{FF2B5EF4-FFF2-40B4-BE49-F238E27FC236}">
              <a16:creationId xmlns:a16="http://schemas.microsoft.com/office/drawing/2014/main" id="{3116628B-3656-421F-A29D-8740D66AB48D}"/>
            </a:ext>
          </a:extLst>
        </xdr:cNvPr>
        <xdr:cNvSpPr/>
      </xdr:nvSpPr>
      <xdr:spPr>
        <a:xfrm>
          <a:off x="0" y="1110953"/>
          <a:ext cx="1916546" cy="3069365"/>
        </a:xfrm>
        <a:prstGeom prst="roundRect">
          <a:avLst>
            <a:gd name="adj" fmla="val 6930"/>
          </a:avLst>
        </a:prstGeom>
        <a:solidFill>
          <a:srgbClr val="282828"/>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213644</xdr:colOff>
      <xdr:row>19</xdr:row>
      <xdr:rowOff>178038</xdr:rowOff>
    </xdr:from>
    <xdr:to>
      <xdr:col>7</xdr:col>
      <xdr:colOff>427290</xdr:colOff>
      <xdr:row>32</xdr:row>
      <xdr:rowOff>128187</xdr:rowOff>
    </xdr:to>
    <xdr:sp macro="" textlink="">
      <xdr:nvSpPr>
        <xdr:cNvPr id="5" name="Rectangle: Rounded Corners 4">
          <a:extLst>
            <a:ext uri="{FF2B5EF4-FFF2-40B4-BE49-F238E27FC236}">
              <a16:creationId xmlns:a16="http://schemas.microsoft.com/office/drawing/2014/main" id="{52C0C194-B77A-456B-9B6C-236691A88179}"/>
            </a:ext>
          </a:extLst>
        </xdr:cNvPr>
        <xdr:cNvSpPr/>
      </xdr:nvSpPr>
      <xdr:spPr>
        <a:xfrm>
          <a:off x="2050990" y="3703178"/>
          <a:ext cx="2663440" cy="2357215"/>
        </a:xfrm>
        <a:prstGeom prst="roundRect">
          <a:avLst>
            <a:gd name="adj" fmla="val 6930"/>
          </a:avLst>
        </a:prstGeom>
        <a:solidFill>
          <a:srgbClr val="282828"/>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0</xdr:colOff>
      <xdr:row>6</xdr:row>
      <xdr:rowOff>1</xdr:rowOff>
    </xdr:from>
    <xdr:to>
      <xdr:col>12</xdr:col>
      <xdr:colOff>9600</xdr:colOff>
      <xdr:row>19</xdr:row>
      <xdr:rowOff>140100</xdr:rowOff>
    </xdr:to>
    <xdr:sp macro="" textlink="">
      <xdr:nvSpPr>
        <xdr:cNvPr id="7" name="Rectangle: Rounded Corners 6">
          <a:extLst>
            <a:ext uri="{FF2B5EF4-FFF2-40B4-BE49-F238E27FC236}">
              <a16:creationId xmlns:a16="http://schemas.microsoft.com/office/drawing/2014/main" id="{EF9A5E44-59DB-4D6D-AC53-C1C8185454DA}"/>
            </a:ext>
          </a:extLst>
        </xdr:cNvPr>
        <xdr:cNvSpPr/>
      </xdr:nvSpPr>
      <xdr:spPr>
        <a:xfrm>
          <a:off x="4899589" y="1110954"/>
          <a:ext cx="2459394" cy="2554286"/>
        </a:xfrm>
        <a:prstGeom prst="roundRect">
          <a:avLst>
            <a:gd name="adj" fmla="val 6930"/>
          </a:avLst>
        </a:prstGeom>
        <a:solidFill>
          <a:srgbClr val="282828"/>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313344</xdr:colOff>
      <xdr:row>6</xdr:row>
      <xdr:rowOff>0</xdr:rowOff>
    </xdr:from>
    <xdr:to>
      <xdr:col>7</xdr:col>
      <xdr:colOff>491550</xdr:colOff>
      <xdr:row>13</xdr:row>
      <xdr:rowOff>85457</xdr:rowOff>
    </xdr:to>
    <xdr:sp macro="" textlink="">
      <xdr:nvSpPr>
        <xdr:cNvPr id="8" name="Rectangle: Rounded Corners 7">
          <a:extLst>
            <a:ext uri="{FF2B5EF4-FFF2-40B4-BE49-F238E27FC236}">
              <a16:creationId xmlns:a16="http://schemas.microsoft.com/office/drawing/2014/main" id="{5C97AF05-C773-4AA8-9C29-8A38F16E7E04}"/>
            </a:ext>
          </a:extLst>
        </xdr:cNvPr>
        <xdr:cNvSpPr/>
      </xdr:nvSpPr>
      <xdr:spPr>
        <a:xfrm>
          <a:off x="2150690" y="1110953"/>
          <a:ext cx="2628000" cy="1388691"/>
        </a:xfrm>
        <a:prstGeom prst="roundRect">
          <a:avLst>
            <a:gd name="adj" fmla="val 6930"/>
          </a:avLst>
        </a:prstGeom>
        <a:solidFill>
          <a:srgbClr val="282828"/>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306224</xdr:colOff>
      <xdr:row>13</xdr:row>
      <xdr:rowOff>135309</xdr:rowOff>
    </xdr:from>
    <xdr:to>
      <xdr:col>5</xdr:col>
      <xdr:colOff>442183</xdr:colOff>
      <xdr:row>19</xdr:row>
      <xdr:rowOff>118029</xdr:rowOff>
    </xdr:to>
    <xdr:sp macro="" textlink="">
      <xdr:nvSpPr>
        <xdr:cNvPr id="9" name="Rectangle: Rounded Corners 8">
          <a:extLst>
            <a:ext uri="{FF2B5EF4-FFF2-40B4-BE49-F238E27FC236}">
              <a16:creationId xmlns:a16="http://schemas.microsoft.com/office/drawing/2014/main" id="{758B90A1-7F23-4DE3-89EB-37F9FC84848D}"/>
            </a:ext>
          </a:extLst>
        </xdr:cNvPr>
        <xdr:cNvSpPr/>
      </xdr:nvSpPr>
      <xdr:spPr>
        <a:xfrm>
          <a:off x="2143570" y="2549496"/>
          <a:ext cx="1360856" cy="1093673"/>
        </a:xfrm>
        <a:prstGeom prst="roundRect">
          <a:avLst>
            <a:gd name="adj" fmla="val 6930"/>
          </a:avLst>
        </a:prstGeom>
        <a:solidFill>
          <a:srgbClr val="282828"/>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487680</xdr:colOff>
      <xdr:row>13</xdr:row>
      <xdr:rowOff>129540</xdr:rowOff>
    </xdr:from>
    <xdr:to>
      <xdr:col>7</xdr:col>
      <xdr:colOff>438480</xdr:colOff>
      <xdr:row>19</xdr:row>
      <xdr:rowOff>112260</xdr:rowOff>
    </xdr:to>
    <xdr:sp macro="" textlink="">
      <xdr:nvSpPr>
        <xdr:cNvPr id="10" name="Rectangle: Rounded Corners 9">
          <a:extLst>
            <a:ext uri="{FF2B5EF4-FFF2-40B4-BE49-F238E27FC236}">
              <a16:creationId xmlns:a16="http://schemas.microsoft.com/office/drawing/2014/main" id="{967C2EF4-0890-49AF-A486-6B6493D450B2}"/>
            </a:ext>
          </a:extLst>
        </xdr:cNvPr>
        <xdr:cNvSpPr/>
      </xdr:nvSpPr>
      <xdr:spPr>
        <a:xfrm>
          <a:off x="3535680" y="2514600"/>
          <a:ext cx="1170000" cy="1080000"/>
        </a:xfrm>
        <a:prstGeom prst="roundRect">
          <a:avLst>
            <a:gd name="adj" fmla="val 6930"/>
          </a:avLst>
        </a:prstGeom>
        <a:solidFill>
          <a:srgbClr val="282828"/>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228600</xdr:colOff>
      <xdr:row>26</xdr:row>
      <xdr:rowOff>152400</xdr:rowOff>
    </xdr:from>
    <xdr:to>
      <xdr:col>14</xdr:col>
      <xdr:colOff>195375</xdr:colOff>
      <xdr:row>32</xdr:row>
      <xdr:rowOff>153060</xdr:rowOff>
    </xdr:to>
    <xdr:sp macro="" textlink="">
      <xdr:nvSpPr>
        <xdr:cNvPr id="11" name="Rectangle: Rounded Corners 10">
          <a:extLst>
            <a:ext uri="{FF2B5EF4-FFF2-40B4-BE49-F238E27FC236}">
              <a16:creationId xmlns:a16="http://schemas.microsoft.com/office/drawing/2014/main" id="{D60962CF-23BF-4A31-8189-C804D68AC97A}"/>
            </a:ext>
          </a:extLst>
        </xdr:cNvPr>
        <xdr:cNvSpPr/>
      </xdr:nvSpPr>
      <xdr:spPr>
        <a:xfrm>
          <a:off x="7577983" y="4973652"/>
          <a:ext cx="1191672" cy="1111614"/>
        </a:xfrm>
        <a:prstGeom prst="roundRect">
          <a:avLst>
            <a:gd name="adj" fmla="val 6930"/>
          </a:avLst>
        </a:prstGeom>
        <a:solidFill>
          <a:srgbClr val="282828"/>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427425</xdr:colOff>
      <xdr:row>26</xdr:row>
      <xdr:rowOff>167640</xdr:rowOff>
    </xdr:from>
    <xdr:to>
      <xdr:col>16</xdr:col>
      <xdr:colOff>394200</xdr:colOff>
      <xdr:row>32</xdr:row>
      <xdr:rowOff>150360</xdr:rowOff>
    </xdr:to>
    <xdr:sp macro="" textlink="">
      <xdr:nvSpPr>
        <xdr:cNvPr id="12" name="Rectangle: Rounded Corners 11">
          <a:extLst>
            <a:ext uri="{FF2B5EF4-FFF2-40B4-BE49-F238E27FC236}">
              <a16:creationId xmlns:a16="http://schemas.microsoft.com/office/drawing/2014/main" id="{83A6862F-09C2-440B-8E65-590523BEAF5F}"/>
            </a:ext>
          </a:extLst>
        </xdr:cNvPr>
        <xdr:cNvSpPr/>
      </xdr:nvSpPr>
      <xdr:spPr>
        <a:xfrm>
          <a:off x="8961825" y="4930140"/>
          <a:ext cx="1185975" cy="1080000"/>
        </a:xfrm>
        <a:prstGeom prst="roundRect">
          <a:avLst>
            <a:gd name="adj" fmla="val 6930"/>
          </a:avLst>
        </a:prstGeom>
        <a:solidFill>
          <a:srgbClr val="282828"/>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427425</xdr:colOff>
      <xdr:row>20</xdr:row>
      <xdr:rowOff>53340</xdr:rowOff>
    </xdr:from>
    <xdr:to>
      <xdr:col>16</xdr:col>
      <xdr:colOff>394200</xdr:colOff>
      <xdr:row>26</xdr:row>
      <xdr:rowOff>36060</xdr:rowOff>
    </xdr:to>
    <xdr:sp macro="" textlink="">
      <xdr:nvSpPr>
        <xdr:cNvPr id="13" name="Rectangle: Rounded Corners 12">
          <a:extLst>
            <a:ext uri="{FF2B5EF4-FFF2-40B4-BE49-F238E27FC236}">
              <a16:creationId xmlns:a16="http://schemas.microsoft.com/office/drawing/2014/main" id="{0E641FA4-962F-49BA-862D-4215449A38D9}"/>
            </a:ext>
          </a:extLst>
        </xdr:cNvPr>
        <xdr:cNvSpPr/>
      </xdr:nvSpPr>
      <xdr:spPr>
        <a:xfrm>
          <a:off x="8961825" y="3718560"/>
          <a:ext cx="1185975" cy="1080000"/>
        </a:xfrm>
        <a:prstGeom prst="roundRect">
          <a:avLst>
            <a:gd name="adj" fmla="val 6930"/>
          </a:avLst>
        </a:prstGeom>
        <a:solidFill>
          <a:srgbClr val="282828"/>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198120</xdr:colOff>
      <xdr:row>9</xdr:row>
      <xdr:rowOff>152400</xdr:rowOff>
    </xdr:from>
    <xdr:to>
      <xdr:col>16</xdr:col>
      <xdr:colOff>495720</xdr:colOff>
      <xdr:row>19</xdr:row>
      <xdr:rowOff>38100</xdr:rowOff>
    </xdr:to>
    <xdr:sp macro="" textlink="">
      <xdr:nvSpPr>
        <xdr:cNvPr id="14" name="Rectangle: Rounded Corners 13">
          <a:extLst>
            <a:ext uri="{FF2B5EF4-FFF2-40B4-BE49-F238E27FC236}">
              <a16:creationId xmlns:a16="http://schemas.microsoft.com/office/drawing/2014/main" id="{B4A07A62-9148-4FF4-88A3-0D20499AA772}"/>
            </a:ext>
          </a:extLst>
        </xdr:cNvPr>
        <xdr:cNvSpPr/>
      </xdr:nvSpPr>
      <xdr:spPr>
        <a:xfrm>
          <a:off x="7513320" y="1805940"/>
          <a:ext cx="2736000" cy="1714500"/>
        </a:xfrm>
        <a:prstGeom prst="roundRect">
          <a:avLst>
            <a:gd name="adj" fmla="val 6930"/>
          </a:avLst>
        </a:prstGeom>
        <a:solidFill>
          <a:srgbClr val="282828"/>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190500</xdr:colOff>
      <xdr:row>3</xdr:row>
      <xdr:rowOff>83820</xdr:rowOff>
    </xdr:from>
    <xdr:to>
      <xdr:col>16</xdr:col>
      <xdr:colOff>457200</xdr:colOff>
      <xdr:row>9</xdr:row>
      <xdr:rowOff>7620</xdr:rowOff>
    </xdr:to>
    <xdr:sp macro="" textlink="">
      <xdr:nvSpPr>
        <xdr:cNvPr id="15" name="Rectangle: Rounded Corners 14">
          <a:extLst>
            <a:ext uri="{FF2B5EF4-FFF2-40B4-BE49-F238E27FC236}">
              <a16:creationId xmlns:a16="http://schemas.microsoft.com/office/drawing/2014/main" id="{95C26009-3FFC-48BE-A889-385918A2B2BA}"/>
            </a:ext>
          </a:extLst>
        </xdr:cNvPr>
        <xdr:cNvSpPr/>
      </xdr:nvSpPr>
      <xdr:spPr>
        <a:xfrm>
          <a:off x="7539883" y="639297"/>
          <a:ext cx="2716495" cy="1041874"/>
        </a:xfrm>
        <a:prstGeom prst="roundRect">
          <a:avLst>
            <a:gd name="adj" fmla="val 6930"/>
          </a:avLst>
        </a:prstGeom>
        <a:solidFill>
          <a:srgbClr val="282828"/>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411480</xdr:colOff>
      <xdr:row>27</xdr:row>
      <xdr:rowOff>0</xdr:rowOff>
    </xdr:from>
    <xdr:to>
      <xdr:col>16</xdr:col>
      <xdr:colOff>0</xdr:colOff>
      <xdr:row>30</xdr:row>
      <xdr:rowOff>106680</xdr:rowOff>
    </xdr:to>
    <xdr:sp macro="" textlink="'[1]pivot table'!B12">
      <xdr:nvSpPr>
        <xdr:cNvPr id="18" name="TextBox 17">
          <a:extLst>
            <a:ext uri="{FF2B5EF4-FFF2-40B4-BE49-F238E27FC236}">
              <a16:creationId xmlns:a16="http://schemas.microsoft.com/office/drawing/2014/main" id="{92680679-A9A6-4C54-B85B-0683BC547E61}"/>
            </a:ext>
          </a:extLst>
        </xdr:cNvPr>
        <xdr:cNvSpPr txBox="1"/>
      </xdr:nvSpPr>
      <xdr:spPr>
        <a:xfrm>
          <a:off x="8945880" y="4945380"/>
          <a:ext cx="807720" cy="6553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0">
              <a:solidFill>
                <a:schemeClr val="bg1"/>
              </a:solidFill>
            </a:rPr>
            <a:t>full</a:t>
          </a:r>
        </a:p>
        <a:p>
          <a:r>
            <a:rPr lang="en-IN" sz="1200" b="0">
              <a:solidFill>
                <a:schemeClr val="bg1"/>
              </a:solidFill>
            </a:rPr>
            <a:t>time </a:t>
          </a:r>
        </a:p>
        <a:p>
          <a:r>
            <a:rPr lang="en-IN" sz="1200" b="0">
              <a:solidFill>
                <a:schemeClr val="bg1"/>
              </a:solidFill>
            </a:rPr>
            <a:t>employees</a:t>
          </a:r>
        </a:p>
      </xdr:txBody>
    </xdr:sp>
    <xdr:clientData/>
  </xdr:twoCellAnchor>
  <xdr:twoCellAnchor>
    <xdr:from>
      <xdr:col>12</xdr:col>
      <xdr:colOff>190500</xdr:colOff>
      <xdr:row>26</xdr:row>
      <xdr:rowOff>152400</xdr:rowOff>
    </xdr:from>
    <xdr:to>
      <xdr:col>14</xdr:col>
      <xdr:colOff>0</xdr:colOff>
      <xdr:row>30</xdr:row>
      <xdr:rowOff>76200</xdr:rowOff>
    </xdr:to>
    <xdr:sp macro="" textlink="'[1]pivot table'!B12">
      <xdr:nvSpPr>
        <xdr:cNvPr id="20" name="TextBox 19">
          <a:extLst>
            <a:ext uri="{FF2B5EF4-FFF2-40B4-BE49-F238E27FC236}">
              <a16:creationId xmlns:a16="http://schemas.microsoft.com/office/drawing/2014/main" id="{D1967420-7437-4D03-A070-D060E529CB6B}"/>
            </a:ext>
          </a:extLst>
        </xdr:cNvPr>
        <xdr:cNvSpPr txBox="1"/>
      </xdr:nvSpPr>
      <xdr:spPr>
        <a:xfrm>
          <a:off x="7505700" y="4914900"/>
          <a:ext cx="1028700" cy="6553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0">
              <a:solidFill>
                <a:schemeClr val="bg1"/>
              </a:solidFill>
            </a:rPr>
            <a:t>employees</a:t>
          </a:r>
        </a:p>
        <a:p>
          <a:r>
            <a:rPr lang="en-IN" sz="1200" b="0">
              <a:solidFill>
                <a:schemeClr val="bg1"/>
              </a:solidFill>
            </a:rPr>
            <a:t>with </a:t>
          </a:r>
        </a:p>
        <a:p>
          <a:r>
            <a:rPr lang="en-IN" sz="1200" b="0">
              <a:solidFill>
                <a:schemeClr val="bg1"/>
              </a:solidFill>
            </a:rPr>
            <a:t>contract</a:t>
          </a:r>
        </a:p>
      </xdr:txBody>
    </xdr:sp>
    <xdr:clientData/>
  </xdr:twoCellAnchor>
  <xdr:twoCellAnchor>
    <xdr:from>
      <xdr:col>15</xdr:col>
      <xdr:colOff>411480</xdr:colOff>
      <xdr:row>23</xdr:row>
      <xdr:rowOff>106680</xdr:rowOff>
    </xdr:from>
    <xdr:to>
      <xdr:col>16</xdr:col>
      <xdr:colOff>533400</xdr:colOff>
      <xdr:row>26</xdr:row>
      <xdr:rowOff>137160</xdr:rowOff>
    </xdr:to>
    <xdr:sp macro="" textlink="'pivot table'!B12">
      <xdr:nvSpPr>
        <xdr:cNvPr id="23" name="TextBox 22">
          <a:extLst>
            <a:ext uri="{FF2B5EF4-FFF2-40B4-BE49-F238E27FC236}">
              <a16:creationId xmlns:a16="http://schemas.microsoft.com/office/drawing/2014/main" id="{6F8639EA-DF97-D147-B0D4-F06E4C207564}"/>
            </a:ext>
          </a:extLst>
        </xdr:cNvPr>
        <xdr:cNvSpPr txBox="1"/>
      </xdr:nvSpPr>
      <xdr:spPr>
        <a:xfrm>
          <a:off x="9555480" y="4320540"/>
          <a:ext cx="731520" cy="579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6EE1C71-4A67-4C11-9F85-8CBD149A5D0A}" type="TxLink">
            <a:rPr lang="en-US" sz="2400" b="1" i="0" u="none" strike="noStrike">
              <a:solidFill>
                <a:schemeClr val="bg1"/>
              </a:solidFill>
              <a:latin typeface="Franklin Gothic Medium" panose="020B0603020102020204" pitchFamily="34" charset="0"/>
            </a:rPr>
            <a:t>13</a:t>
          </a:fld>
          <a:endParaRPr lang="en-IN" sz="2400" b="1">
            <a:solidFill>
              <a:schemeClr val="bg1"/>
            </a:solidFill>
            <a:latin typeface="Franklin Gothic Medium" panose="020B0603020102020204" pitchFamily="34" charset="0"/>
          </a:endParaRPr>
        </a:p>
      </xdr:txBody>
    </xdr:sp>
    <xdr:clientData/>
  </xdr:twoCellAnchor>
  <xdr:twoCellAnchor>
    <xdr:from>
      <xdr:col>13</xdr:col>
      <xdr:colOff>182880</xdr:colOff>
      <xdr:row>29</xdr:row>
      <xdr:rowOff>175260</xdr:rowOff>
    </xdr:from>
    <xdr:to>
      <xdr:col>14</xdr:col>
      <xdr:colOff>312420</xdr:colOff>
      <xdr:row>32</xdr:row>
      <xdr:rowOff>160020</xdr:rowOff>
    </xdr:to>
    <xdr:sp macro="" textlink="'pivot table'!B10">
      <xdr:nvSpPr>
        <xdr:cNvPr id="24" name="TextBox 23">
          <a:extLst>
            <a:ext uri="{FF2B5EF4-FFF2-40B4-BE49-F238E27FC236}">
              <a16:creationId xmlns:a16="http://schemas.microsoft.com/office/drawing/2014/main" id="{E8454381-9888-4520-AED8-C1DF2B8922CB}"/>
            </a:ext>
          </a:extLst>
        </xdr:cNvPr>
        <xdr:cNvSpPr txBox="1"/>
      </xdr:nvSpPr>
      <xdr:spPr>
        <a:xfrm>
          <a:off x="8107680" y="5486400"/>
          <a:ext cx="739140"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E6F4CD83-2EB8-4132-AD74-F9CED6424290}" type="TxLink">
            <a:rPr lang="en-US" sz="2400" b="1" i="0" u="none" strike="noStrike">
              <a:solidFill>
                <a:schemeClr val="bg1"/>
              </a:solidFill>
              <a:latin typeface="Franklin Gothic Medium" panose="020B0603020102020204" pitchFamily="34" charset="0"/>
              <a:ea typeface="+mn-ea"/>
              <a:cs typeface="+mn-cs"/>
            </a:rPr>
            <a:pPr marL="0" indent="0"/>
            <a:t>17</a:t>
          </a:fld>
          <a:endParaRPr lang="en-IN" sz="2400" b="1" i="0" u="none" strike="noStrike">
            <a:solidFill>
              <a:schemeClr val="bg1"/>
            </a:solidFill>
            <a:latin typeface="Franklin Gothic Medium" panose="020B0603020102020204" pitchFamily="34" charset="0"/>
            <a:ea typeface="+mn-ea"/>
            <a:cs typeface="+mn-cs"/>
          </a:endParaRPr>
        </a:p>
      </xdr:txBody>
    </xdr:sp>
    <xdr:clientData/>
  </xdr:twoCellAnchor>
  <xdr:twoCellAnchor>
    <xdr:from>
      <xdr:col>15</xdr:col>
      <xdr:colOff>472440</xdr:colOff>
      <xdr:row>29</xdr:row>
      <xdr:rowOff>167640</xdr:rowOff>
    </xdr:from>
    <xdr:to>
      <xdr:col>16</xdr:col>
      <xdr:colOff>594360</xdr:colOff>
      <xdr:row>33</xdr:row>
      <xdr:rowOff>15240</xdr:rowOff>
    </xdr:to>
    <xdr:sp macro="" textlink="'pivot table'!B11">
      <xdr:nvSpPr>
        <xdr:cNvPr id="26" name="TextBox 25">
          <a:extLst>
            <a:ext uri="{FF2B5EF4-FFF2-40B4-BE49-F238E27FC236}">
              <a16:creationId xmlns:a16="http://schemas.microsoft.com/office/drawing/2014/main" id="{99363A9F-B8D5-4863-A5C2-8019C5BB4673}"/>
            </a:ext>
          </a:extLst>
        </xdr:cNvPr>
        <xdr:cNvSpPr txBox="1"/>
      </xdr:nvSpPr>
      <xdr:spPr>
        <a:xfrm>
          <a:off x="9616440" y="5478780"/>
          <a:ext cx="731520" cy="579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7D9AA2F7-F9D9-4889-B053-2F2856E5ED90}" type="TxLink">
            <a:rPr lang="en-US" sz="2400" b="1" i="0" u="none" strike="noStrike">
              <a:solidFill>
                <a:schemeClr val="bg1"/>
              </a:solidFill>
              <a:latin typeface="Franklin Gothic Medium" panose="020B0603020102020204" pitchFamily="34" charset="0"/>
              <a:ea typeface="+mn-ea"/>
              <a:cs typeface="+mn-cs"/>
            </a:rPr>
            <a:pPr marL="0" indent="0"/>
            <a:t>20</a:t>
          </a:fld>
          <a:endParaRPr lang="en-IN" sz="2400" b="1" i="0" u="none" strike="noStrike">
            <a:solidFill>
              <a:schemeClr val="bg1"/>
            </a:solidFill>
            <a:latin typeface="Franklin Gothic Medium" panose="020B0603020102020204" pitchFamily="34" charset="0"/>
            <a:ea typeface="+mn-ea"/>
            <a:cs typeface="+mn-cs"/>
          </a:endParaRPr>
        </a:p>
      </xdr:txBody>
    </xdr:sp>
    <xdr:clientData/>
  </xdr:twoCellAnchor>
  <xdr:twoCellAnchor>
    <xdr:from>
      <xdr:col>14</xdr:col>
      <xdr:colOff>373380</xdr:colOff>
      <xdr:row>20</xdr:row>
      <xdr:rowOff>121920</xdr:rowOff>
    </xdr:from>
    <xdr:to>
      <xdr:col>16</xdr:col>
      <xdr:colOff>0</xdr:colOff>
      <xdr:row>25</xdr:row>
      <xdr:rowOff>0</xdr:rowOff>
    </xdr:to>
    <xdr:sp macro="" textlink="">
      <xdr:nvSpPr>
        <xdr:cNvPr id="16" name="TextBox 15">
          <a:extLst>
            <a:ext uri="{FF2B5EF4-FFF2-40B4-BE49-F238E27FC236}">
              <a16:creationId xmlns:a16="http://schemas.microsoft.com/office/drawing/2014/main" id="{F331BBE9-57F1-40D7-9463-8E6B7C8891C9}"/>
            </a:ext>
          </a:extLst>
        </xdr:cNvPr>
        <xdr:cNvSpPr txBox="1"/>
      </xdr:nvSpPr>
      <xdr:spPr>
        <a:xfrm>
          <a:off x="8907780" y="3787140"/>
          <a:ext cx="845820" cy="7924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200">
              <a:solidFill>
                <a:schemeClr val="bg1"/>
              </a:solidFill>
              <a:latin typeface="+mn-lt"/>
              <a:ea typeface="+mn-ea"/>
              <a:cs typeface="+mn-cs"/>
            </a:rPr>
            <a:t>Part </a:t>
          </a:r>
        </a:p>
        <a:p>
          <a:pPr marL="0" indent="0"/>
          <a:r>
            <a:rPr lang="en-IN" sz="1200">
              <a:solidFill>
                <a:schemeClr val="bg1"/>
              </a:solidFill>
              <a:latin typeface="+mn-lt"/>
              <a:ea typeface="+mn-ea"/>
              <a:cs typeface="+mn-cs"/>
            </a:rPr>
            <a:t>time</a:t>
          </a:r>
        </a:p>
        <a:p>
          <a:pPr marL="0" indent="0"/>
          <a:r>
            <a:rPr lang="en-IN" sz="1200">
              <a:solidFill>
                <a:schemeClr val="bg1"/>
              </a:solidFill>
              <a:latin typeface="+mn-lt"/>
              <a:ea typeface="+mn-ea"/>
              <a:cs typeface="+mn-cs"/>
            </a:rPr>
            <a:t>empoyees</a:t>
          </a:r>
        </a:p>
      </xdr:txBody>
    </xdr:sp>
    <xdr:clientData/>
  </xdr:twoCellAnchor>
  <xdr:twoCellAnchor>
    <xdr:from>
      <xdr:col>10</xdr:col>
      <xdr:colOff>68580</xdr:colOff>
      <xdr:row>31</xdr:row>
      <xdr:rowOff>0</xdr:rowOff>
    </xdr:from>
    <xdr:to>
      <xdr:col>11</xdr:col>
      <xdr:colOff>538980</xdr:colOff>
      <xdr:row>32</xdr:row>
      <xdr:rowOff>69120</xdr:rowOff>
    </xdr:to>
    <xdr:sp macro="" textlink="">
      <xdr:nvSpPr>
        <xdr:cNvPr id="61" name="Rectangle: Rounded Corners 60">
          <a:extLst>
            <a:ext uri="{FF2B5EF4-FFF2-40B4-BE49-F238E27FC236}">
              <a16:creationId xmlns:a16="http://schemas.microsoft.com/office/drawing/2014/main" id="{2A96AC45-01DF-4CCD-8967-45697DD8BD1C}"/>
            </a:ext>
          </a:extLst>
        </xdr:cNvPr>
        <xdr:cNvSpPr/>
      </xdr:nvSpPr>
      <xdr:spPr>
        <a:xfrm>
          <a:off x="6164580" y="5676900"/>
          <a:ext cx="1080000" cy="252000"/>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220980</xdr:colOff>
      <xdr:row>31</xdr:row>
      <xdr:rowOff>152400</xdr:rowOff>
    </xdr:from>
    <xdr:to>
      <xdr:col>12</xdr:col>
      <xdr:colOff>81780</xdr:colOff>
      <xdr:row>33</xdr:row>
      <xdr:rowOff>38640</xdr:rowOff>
    </xdr:to>
    <xdr:sp macro="" textlink="">
      <xdr:nvSpPr>
        <xdr:cNvPr id="62" name="Rectangle: Rounded Corners 61">
          <a:extLst>
            <a:ext uri="{FF2B5EF4-FFF2-40B4-BE49-F238E27FC236}">
              <a16:creationId xmlns:a16="http://schemas.microsoft.com/office/drawing/2014/main" id="{30426A62-CF08-4D72-97AA-50DDFA8BFE39}"/>
            </a:ext>
          </a:extLst>
        </xdr:cNvPr>
        <xdr:cNvSpPr/>
      </xdr:nvSpPr>
      <xdr:spPr>
        <a:xfrm>
          <a:off x="6316980" y="5829300"/>
          <a:ext cx="1080000" cy="252000"/>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139200</xdr:colOff>
      <xdr:row>31</xdr:row>
      <xdr:rowOff>0</xdr:rowOff>
    </xdr:from>
    <xdr:to>
      <xdr:col>12</xdr:col>
      <xdr:colOff>0</xdr:colOff>
      <xdr:row>32</xdr:row>
      <xdr:rowOff>69120</xdr:rowOff>
    </xdr:to>
    <xdr:sp macro="" textlink="">
      <xdr:nvSpPr>
        <xdr:cNvPr id="63" name="Rectangle: Rounded Corners 62">
          <a:extLst>
            <a:ext uri="{FF2B5EF4-FFF2-40B4-BE49-F238E27FC236}">
              <a16:creationId xmlns:a16="http://schemas.microsoft.com/office/drawing/2014/main" id="{95325075-E223-4AAE-9D77-882AA7C73695}"/>
            </a:ext>
          </a:extLst>
        </xdr:cNvPr>
        <xdr:cNvSpPr/>
      </xdr:nvSpPr>
      <xdr:spPr>
        <a:xfrm>
          <a:off x="6235200" y="5676900"/>
          <a:ext cx="1080000" cy="252000"/>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525780</xdr:colOff>
      <xdr:row>33</xdr:row>
      <xdr:rowOff>91440</xdr:rowOff>
    </xdr:from>
    <xdr:to>
      <xdr:col>12</xdr:col>
      <xdr:colOff>386580</xdr:colOff>
      <xdr:row>34</xdr:row>
      <xdr:rowOff>160560</xdr:rowOff>
    </xdr:to>
    <xdr:sp macro="" textlink="">
      <xdr:nvSpPr>
        <xdr:cNvPr id="64" name="Rectangle: Rounded Corners 63">
          <a:extLst>
            <a:ext uri="{FF2B5EF4-FFF2-40B4-BE49-F238E27FC236}">
              <a16:creationId xmlns:a16="http://schemas.microsoft.com/office/drawing/2014/main" id="{9346EF1F-342A-4EBB-B0F2-080BE295F5E8}"/>
            </a:ext>
          </a:extLst>
        </xdr:cNvPr>
        <xdr:cNvSpPr/>
      </xdr:nvSpPr>
      <xdr:spPr>
        <a:xfrm>
          <a:off x="6621780" y="6134100"/>
          <a:ext cx="1080000" cy="252000"/>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316230</xdr:colOff>
      <xdr:row>30</xdr:row>
      <xdr:rowOff>0</xdr:rowOff>
    </xdr:from>
    <xdr:to>
      <xdr:col>12</xdr:col>
      <xdr:colOff>177030</xdr:colOff>
      <xdr:row>31</xdr:row>
      <xdr:rowOff>69120</xdr:rowOff>
    </xdr:to>
    <xdr:sp macro="" textlink="">
      <xdr:nvSpPr>
        <xdr:cNvPr id="65" name="Rectangle: Rounded Corners 64">
          <a:extLst>
            <a:ext uri="{FF2B5EF4-FFF2-40B4-BE49-F238E27FC236}">
              <a16:creationId xmlns:a16="http://schemas.microsoft.com/office/drawing/2014/main" id="{C36305F5-4E44-4EA3-85A9-FE3BF0720244}"/>
            </a:ext>
          </a:extLst>
        </xdr:cNvPr>
        <xdr:cNvSpPr/>
      </xdr:nvSpPr>
      <xdr:spPr>
        <a:xfrm>
          <a:off x="6412230" y="5494020"/>
          <a:ext cx="1080000" cy="252000"/>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209037</xdr:colOff>
      <xdr:row>28</xdr:row>
      <xdr:rowOff>104067</xdr:rowOff>
    </xdr:from>
    <xdr:to>
      <xdr:col>12</xdr:col>
      <xdr:colOff>69837</xdr:colOff>
      <xdr:row>29</xdr:row>
      <xdr:rowOff>173187</xdr:rowOff>
    </xdr:to>
    <xdr:sp macro="" textlink="">
      <xdr:nvSpPr>
        <xdr:cNvPr id="66" name="Rectangle: Rounded Corners 65">
          <a:extLst>
            <a:ext uri="{FF2B5EF4-FFF2-40B4-BE49-F238E27FC236}">
              <a16:creationId xmlns:a16="http://schemas.microsoft.com/office/drawing/2014/main" id="{28D8AFA9-5C63-4703-A2DE-14393682BAB8}"/>
            </a:ext>
          </a:extLst>
        </xdr:cNvPr>
        <xdr:cNvSpPr/>
      </xdr:nvSpPr>
      <xdr:spPr>
        <a:xfrm>
          <a:off x="6305037" y="5232327"/>
          <a:ext cx="1080000" cy="252000"/>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62352</xdr:colOff>
      <xdr:row>27</xdr:row>
      <xdr:rowOff>15022</xdr:rowOff>
    </xdr:from>
    <xdr:to>
      <xdr:col>11</xdr:col>
      <xdr:colOff>532752</xdr:colOff>
      <xdr:row>28</xdr:row>
      <xdr:rowOff>84142</xdr:rowOff>
    </xdr:to>
    <xdr:sp macro="" textlink="">
      <xdr:nvSpPr>
        <xdr:cNvPr id="67" name="Rectangle: Rounded Corners 66">
          <a:extLst>
            <a:ext uri="{FF2B5EF4-FFF2-40B4-BE49-F238E27FC236}">
              <a16:creationId xmlns:a16="http://schemas.microsoft.com/office/drawing/2014/main" id="{AA916840-76DC-413A-9D78-CAEC1488B60E}"/>
            </a:ext>
          </a:extLst>
        </xdr:cNvPr>
        <xdr:cNvSpPr/>
      </xdr:nvSpPr>
      <xdr:spPr>
        <a:xfrm>
          <a:off x="6158352" y="4960402"/>
          <a:ext cx="1080000" cy="252000"/>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335280</xdr:colOff>
      <xdr:row>26</xdr:row>
      <xdr:rowOff>0</xdr:rowOff>
    </xdr:from>
    <xdr:to>
      <xdr:col>11</xdr:col>
      <xdr:colOff>196080</xdr:colOff>
      <xdr:row>27</xdr:row>
      <xdr:rowOff>69120</xdr:rowOff>
    </xdr:to>
    <xdr:sp macro="" textlink="">
      <xdr:nvSpPr>
        <xdr:cNvPr id="68" name="Rectangle: Rounded Corners 67">
          <a:extLst>
            <a:ext uri="{FF2B5EF4-FFF2-40B4-BE49-F238E27FC236}">
              <a16:creationId xmlns:a16="http://schemas.microsoft.com/office/drawing/2014/main" id="{B5F1A422-4848-484D-999E-EC50F127199E}"/>
            </a:ext>
          </a:extLst>
        </xdr:cNvPr>
        <xdr:cNvSpPr/>
      </xdr:nvSpPr>
      <xdr:spPr>
        <a:xfrm>
          <a:off x="5821680" y="4762500"/>
          <a:ext cx="1080000" cy="252000"/>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434340</xdr:colOff>
      <xdr:row>24</xdr:row>
      <xdr:rowOff>142386</xdr:rowOff>
    </xdr:from>
    <xdr:to>
      <xdr:col>11</xdr:col>
      <xdr:colOff>295140</xdr:colOff>
      <xdr:row>26</xdr:row>
      <xdr:rowOff>28626</xdr:rowOff>
    </xdr:to>
    <xdr:sp macro="" textlink="">
      <xdr:nvSpPr>
        <xdr:cNvPr id="69" name="Rectangle: Rounded Corners 68">
          <a:extLst>
            <a:ext uri="{FF2B5EF4-FFF2-40B4-BE49-F238E27FC236}">
              <a16:creationId xmlns:a16="http://schemas.microsoft.com/office/drawing/2014/main" id="{2C86F4FD-3FA8-4925-AB48-840E106F720E}"/>
            </a:ext>
          </a:extLst>
        </xdr:cNvPr>
        <xdr:cNvSpPr/>
      </xdr:nvSpPr>
      <xdr:spPr>
        <a:xfrm>
          <a:off x="5920740" y="4539126"/>
          <a:ext cx="1080000" cy="252000"/>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0</xdr:colOff>
      <xdr:row>24</xdr:row>
      <xdr:rowOff>22860</xdr:rowOff>
    </xdr:from>
    <xdr:to>
      <xdr:col>10</xdr:col>
      <xdr:colOff>0</xdr:colOff>
      <xdr:row>25</xdr:row>
      <xdr:rowOff>114300</xdr:rowOff>
    </xdr:to>
    <xdr:sp macro="" textlink="">
      <xdr:nvSpPr>
        <xdr:cNvPr id="87" name="TextBox 86">
          <a:extLst>
            <a:ext uri="{FF2B5EF4-FFF2-40B4-BE49-F238E27FC236}">
              <a16:creationId xmlns:a16="http://schemas.microsoft.com/office/drawing/2014/main" id="{E6C146A9-5612-4622-B327-3193D4BE54C3}"/>
            </a:ext>
          </a:extLst>
        </xdr:cNvPr>
        <xdr:cNvSpPr txBox="1"/>
      </xdr:nvSpPr>
      <xdr:spPr>
        <a:xfrm>
          <a:off x="4876800" y="4419600"/>
          <a:ext cx="1219200" cy="2743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200">
              <a:solidFill>
                <a:schemeClr val="bg1"/>
              </a:solidFill>
              <a:latin typeface="+mn-lt"/>
              <a:ea typeface="+mn-ea"/>
              <a:cs typeface="+mn-cs"/>
            </a:rPr>
            <a:t>Total</a:t>
          </a:r>
          <a:r>
            <a:rPr lang="en-IN" sz="1200" baseline="0">
              <a:solidFill>
                <a:schemeClr val="bg1"/>
              </a:solidFill>
              <a:latin typeface="+mn-lt"/>
              <a:ea typeface="+mn-ea"/>
              <a:cs typeface="+mn-cs"/>
            </a:rPr>
            <a:t> salary</a:t>
          </a:r>
          <a:endParaRPr lang="en-IN" sz="1200">
            <a:solidFill>
              <a:schemeClr val="bg1"/>
            </a:solidFill>
            <a:latin typeface="+mn-lt"/>
            <a:ea typeface="+mn-ea"/>
            <a:cs typeface="+mn-cs"/>
          </a:endParaRPr>
        </a:p>
      </xdr:txBody>
    </xdr:sp>
    <xdr:clientData/>
  </xdr:twoCellAnchor>
  <xdr:twoCellAnchor>
    <xdr:from>
      <xdr:col>8</xdr:col>
      <xdr:colOff>0</xdr:colOff>
      <xdr:row>25</xdr:row>
      <xdr:rowOff>91440</xdr:rowOff>
    </xdr:from>
    <xdr:to>
      <xdr:col>10</xdr:col>
      <xdr:colOff>0</xdr:colOff>
      <xdr:row>27</xdr:row>
      <xdr:rowOff>0</xdr:rowOff>
    </xdr:to>
    <xdr:sp macro="" textlink="">
      <xdr:nvSpPr>
        <xdr:cNvPr id="88" name="TextBox 87">
          <a:extLst>
            <a:ext uri="{FF2B5EF4-FFF2-40B4-BE49-F238E27FC236}">
              <a16:creationId xmlns:a16="http://schemas.microsoft.com/office/drawing/2014/main" id="{780A135A-8A98-43F3-9802-447AA6290757}"/>
            </a:ext>
          </a:extLst>
        </xdr:cNvPr>
        <xdr:cNvSpPr txBox="1"/>
      </xdr:nvSpPr>
      <xdr:spPr>
        <a:xfrm>
          <a:off x="4876800" y="4671060"/>
          <a:ext cx="1219200" cy="2743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200">
              <a:solidFill>
                <a:schemeClr val="bg1"/>
              </a:solidFill>
              <a:latin typeface="+mn-lt"/>
              <a:ea typeface="+mn-ea"/>
              <a:cs typeface="+mn-cs"/>
            </a:rPr>
            <a:t>Manager</a:t>
          </a:r>
        </a:p>
      </xdr:txBody>
    </xdr:sp>
    <xdr:clientData/>
  </xdr:twoCellAnchor>
  <xdr:twoCellAnchor>
    <xdr:from>
      <xdr:col>8</xdr:col>
      <xdr:colOff>0</xdr:colOff>
      <xdr:row>26</xdr:row>
      <xdr:rowOff>152400</xdr:rowOff>
    </xdr:from>
    <xdr:to>
      <xdr:col>10</xdr:col>
      <xdr:colOff>0</xdr:colOff>
      <xdr:row>28</xdr:row>
      <xdr:rowOff>76200</xdr:rowOff>
    </xdr:to>
    <xdr:sp macro="" textlink="">
      <xdr:nvSpPr>
        <xdr:cNvPr id="89" name="TextBox 88">
          <a:extLst>
            <a:ext uri="{FF2B5EF4-FFF2-40B4-BE49-F238E27FC236}">
              <a16:creationId xmlns:a16="http://schemas.microsoft.com/office/drawing/2014/main" id="{EF1B5C74-48DD-44C8-8BD7-F073CA0BC13A}"/>
            </a:ext>
          </a:extLst>
        </xdr:cNvPr>
        <xdr:cNvSpPr txBox="1"/>
      </xdr:nvSpPr>
      <xdr:spPr>
        <a:xfrm>
          <a:off x="4876800" y="4914900"/>
          <a:ext cx="121920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200">
              <a:solidFill>
                <a:schemeClr val="bg1"/>
              </a:solidFill>
              <a:latin typeface="+mn-lt"/>
              <a:ea typeface="+mn-ea"/>
              <a:cs typeface="+mn-cs"/>
            </a:rPr>
            <a:t>HR</a:t>
          </a:r>
          <a:r>
            <a:rPr lang="en-IN" sz="1200" baseline="0">
              <a:solidFill>
                <a:schemeClr val="bg1"/>
              </a:solidFill>
              <a:latin typeface="+mn-lt"/>
              <a:ea typeface="+mn-ea"/>
              <a:cs typeface="+mn-cs"/>
            </a:rPr>
            <a:t> specialist</a:t>
          </a:r>
          <a:endParaRPr lang="en-IN" sz="1200">
            <a:solidFill>
              <a:schemeClr val="bg1"/>
            </a:solidFill>
            <a:latin typeface="+mn-lt"/>
            <a:ea typeface="+mn-ea"/>
            <a:cs typeface="+mn-cs"/>
          </a:endParaRPr>
        </a:p>
      </xdr:txBody>
    </xdr:sp>
    <xdr:clientData/>
  </xdr:twoCellAnchor>
  <xdr:twoCellAnchor>
    <xdr:from>
      <xdr:col>8</xdr:col>
      <xdr:colOff>0</xdr:colOff>
      <xdr:row>28</xdr:row>
      <xdr:rowOff>0</xdr:rowOff>
    </xdr:from>
    <xdr:to>
      <xdr:col>10</xdr:col>
      <xdr:colOff>0</xdr:colOff>
      <xdr:row>29</xdr:row>
      <xdr:rowOff>91440</xdr:rowOff>
    </xdr:to>
    <xdr:sp macro="" textlink="">
      <xdr:nvSpPr>
        <xdr:cNvPr id="90" name="TextBox 89">
          <a:extLst>
            <a:ext uri="{FF2B5EF4-FFF2-40B4-BE49-F238E27FC236}">
              <a16:creationId xmlns:a16="http://schemas.microsoft.com/office/drawing/2014/main" id="{7ED9F966-033B-4CA1-8B7D-4CDABE3EA186}"/>
            </a:ext>
          </a:extLst>
        </xdr:cNvPr>
        <xdr:cNvSpPr txBox="1"/>
      </xdr:nvSpPr>
      <xdr:spPr>
        <a:xfrm>
          <a:off x="4876800" y="5128260"/>
          <a:ext cx="1219200" cy="2743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200" baseline="0">
              <a:solidFill>
                <a:schemeClr val="bg1"/>
              </a:solidFill>
              <a:latin typeface="+mn-lt"/>
              <a:ea typeface="+mn-ea"/>
              <a:cs typeface="+mn-cs"/>
            </a:rPr>
            <a:t>Developer</a:t>
          </a:r>
        </a:p>
      </xdr:txBody>
    </xdr:sp>
    <xdr:clientData/>
  </xdr:twoCellAnchor>
  <xdr:twoCellAnchor>
    <xdr:from>
      <xdr:col>8</xdr:col>
      <xdr:colOff>0</xdr:colOff>
      <xdr:row>29</xdr:row>
      <xdr:rowOff>76200</xdr:rowOff>
    </xdr:from>
    <xdr:to>
      <xdr:col>9</xdr:col>
      <xdr:colOff>228600</xdr:colOff>
      <xdr:row>31</xdr:row>
      <xdr:rowOff>0</xdr:rowOff>
    </xdr:to>
    <xdr:sp macro="" textlink="">
      <xdr:nvSpPr>
        <xdr:cNvPr id="91" name="TextBox 90">
          <a:extLst>
            <a:ext uri="{FF2B5EF4-FFF2-40B4-BE49-F238E27FC236}">
              <a16:creationId xmlns:a16="http://schemas.microsoft.com/office/drawing/2014/main" id="{82AB9E5C-D887-4A34-BE97-77BE056A3D05}"/>
            </a:ext>
          </a:extLst>
        </xdr:cNvPr>
        <xdr:cNvSpPr txBox="1"/>
      </xdr:nvSpPr>
      <xdr:spPr>
        <a:xfrm>
          <a:off x="4876800" y="5387340"/>
          <a:ext cx="83820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200">
              <a:solidFill>
                <a:schemeClr val="bg1"/>
              </a:solidFill>
              <a:latin typeface="+mn-lt"/>
              <a:ea typeface="+mn-ea"/>
              <a:cs typeface="+mn-cs"/>
            </a:rPr>
            <a:t>Designer</a:t>
          </a:r>
        </a:p>
      </xdr:txBody>
    </xdr:sp>
    <xdr:clientData/>
  </xdr:twoCellAnchor>
  <xdr:twoCellAnchor>
    <xdr:from>
      <xdr:col>8</xdr:col>
      <xdr:colOff>0</xdr:colOff>
      <xdr:row>30</xdr:row>
      <xdr:rowOff>152400</xdr:rowOff>
    </xdr:from>
    <xdr:to>
      <xdr:col>10</xdr:col>
      <xdr:colOff>0</xdr:colOff>
      <xdr:row>32</xdr:row>
      <xdr:rowOff>137160</xdr:rowOff>
    </xdr:to>
    <xdr:sp macro="" textlink="">
      <xdr:nvSpPr>
        <xdr:cNvPr id="92" name="TextBox 91">
          <a:extLst>
            <a:ext uri="{FF2B5EF4-FFF2-40B4-BE49-F238E27FC236}">
              <a16:creationId xmlns:a16="http://schemas.microsoft.com/office/drawing/2014/main" id="{66E642A5-0F82-4D56-9C63-35674A0A189F}"/>
            </a:ext>
          </a:extLst>
        </xdr:cNvPr>
        <xdr:cNvSpPr txBox="1"/>
      </xdr:nvSpPr>
      <xdr:spPr>
        <a:xfrm>
          <a:off x="4876800" y="5646420"/>
          <a:ext cx="1219200"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200">
              <a:solidFill>
                <a:schemeClr val="bg1"/>
              </a:solidFill>
              <a:latin typeface="+mn-lt"/>
              <a:ea typeface="+mn-ea"/>
              <a:cs typeface="+mn-cs"/>
            </a:rPr>
            <a:t>Analyst</a:t>
          </a:r>
        </a:p>
      </xdr:txBody>
    </xdr:sp>
    <xdr:clientData/>
  </xdr:twoCellAnchor>
  <xdr:twoCellAnchor>
    <xdr:from>
      <xdr:col>12</xdr:col>
      <xdr:colOff>114300</xdr:colOff>
      <xdr:row>25</xdr:row>
      <xdr:rowOff>0</xdr:rowOff>
    </xdr:from>
    <xdr:to>
      <xdr:col>13</xdr:col>
      <xdr:colOff>182880</xdr:colOff>
      <xdr:row>26</xdr:row>
      <xdr:rowOff>0</xdr:rowOff>
    </xdr:to>
    <xdr:sp macro="" textlink="">
      <xdr:nvSpPr>
        <xdr:cNvPr id="120" name="Rectangle: Rounded Corners 119">
          <a:extLst>
            <a:ext uri="{FF2B5EF4-FFF2-40B4-BE49-F238E27FC236}">
              <a16:creationId xmlns:a16="http://schemas.microsoft.com/office/drawing/2014/main" id="{218ED759-E8A3-4195-A184-03E84B4E713A}"/>
            </a:ext>
          </a:extLst>
        </xdr:cNvPr>
        <xdr:cNvSpPr/>
      </xdr:nvSpPr>
      <xdr:spPr>
        <a:xfrm>
          <a:off x="7429500" y="4579620"/>
          <a:ext cx="678180" cy="182880"/>
        </a:xfrm>
        <a:prstGeom prst="roundRect">
          <a:avLst/>
        </a:prstGeom>
        <a:solidFill>
          <a:srgbClr val="1F1F1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284789</xdr:colOff>
      <xdr:row>20</xdr:row>
      <xdr:rowOff>0</xdr:rowOff>
    </xdr:from>
    <xdr:to>
      <xdr:col>10</xdr:col>
      <xdr:colOff>0</xdr:colOff>
      <xdr:row>22</xdr:row>
      <xdr:rowOff>7620</xdr:rowOff>
    </xdr:to>
    <xdr:sp macro="" textlink="">
      <xdr:nvSpPr>
        <xdr:cNvPr id="128" name="TextBox 127">
          <a:extLst>
            <a:ext uri="{FF2B5EF4-FFF2-40B4-BE49-F238E27FC236}">
              <a16:creationId xmlns:a16="http://schemas.microsoft.com/office/drawing/2014/main" id="{8DC12C58-E124-4FD5-A82B-016D013B1639}"/>
            </a:ext>
          </a:extLst>
        </xdr:cNvPr>
        <xdr:cNvSpPr txBox="1"/>
      </xdr:nvSpPr>
      <xdr:spPr>
        <a:xfrm>
          <a:off x="5184378" y="3710299"/>
          <a:ext cx="940108" cy="3779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200" b="1">
              <a:solidFill>
                <a:srgbClr val="FFC000"/>
              </a:solidFill>
              <a:latin typeface="+mn-lt"/>
              <a:ea typeface="+mn-ea"/>
              <a:cs typeface="+mn-cs"/>
            </a:rPr>
            <a:t>Salaries</a:t>
          </a:r>
        </a:p>
      </xdr:txBody>
    </xdr:sp>
    <xdr:clientData/>
  </xdr:twoCellAnchor>
  <xdr:twoCellAnchor>
    <xdr:from>
      <xdr:col>8</xdr:col>
      <xdr:colOff>0</xdr:colOff>
      <xdr:row>21</xdr:row>
      <xdr:rowOff>0</xdr:rowOff>
    </xdr:from>
    <xdr:to>
      <xdr:col>11</xdr:col>
      <xdr:colOff>0</xdr:colOff>
      <xdr:row>23</xdr:row>
      <xdr:rowOff>0</xdr:rowOff>
    </xdr:to>
    <xdr:sp macro="" textlink="">
      <xdr:nvSpPr>
        <xdr:cNvPr id="129" name="TextBox 128">
          <a:extLst>
            <a:ext uri="{FF2B5EF4-FFF2-40B4-BE49-F238E27FC236}">
              <a16:creationId xmlns:a16="http://schemas.microsoft.com/office/drawing/2014/main" id="{D5BE3678-559E-4F98-831F-D2B586EDD558}"/>
            </a:ext>
          </a:extLst>
        </xdr:cNvPr>
        <xdr:cNvSpPr txBox="1"/>
      </xdr:nvSpPr>
      <xdr:spPr>
        <a:xfrm>
          <a:off x="4876800" y="3848100"/>
          <a:ext cx="1828800" cy="365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100" b="0">
              <a:solidFill>
                <a:schemeClr val="bg2">
                  <a:lumMod val="50000"/>
                </a:schemeClr>
              </a:solidFill>
              <a:latin typeface="+mn-lt"/>
              <a:ea typeface="+mn-ea"/>
              <a:cs typeface="+mn-cs"/>
            </a:rPr>
            <a:t>salary</a:t>
          </a:r>
          <a:r>
            <a:rPr lang="en-IN" sz="1100" b="0" baseline="0">
              <a:solidFill>
                <a:schemeClr val="bg2">
                  <a:lumMod val="50000"/>
                </a:schemeClr>
              </a:solidFill>
              <a:latin typeface="+mn-lt"/>
              <a:ea typeface="+mn-ea"/>
              <a:cs typeface="+mn-cs"/>
            </a:rPr>
            <a:t> amount by job tittles</a:t>
          </a:r>
          <a:endParaRPr lang="en-IN" sz="1100" b="0">
            <a:solidFill>
              <a:schemeClr val="bg2">
                <a:lumMod val="50000"/>
              </a:schemeClr>
            </a:solidFill>
            <a:latin typeface="+mn-lt"/>
            <a:ea typeface="+mn-ea"/>
            <a:cs typeface="+mn-cs"/>
          </a:endParaRPr>
        </a:p>
      </xdr:txBody>
    </xdr:sp>
    <xdr:clientData/>
  </xdr:twoCellAnchor>
  <xdr:twoCellAnchor>
    <xdr:from>
      <xdr:col>12</xdr:col>
      <xdr:colOff>236220</xdr:colOff>
      <xdr:row>19</xdr:row>
      <xdr:rowOff>0</xdr:rowOff>
    </xdr:from>
    <xdr:to>
      <xdr:col>16</xdr:col>
      <xdr:colOff>236220</xdr:colOff>
      <xdr:row>21</xdr:row>
      <xdr:rowOff>0</xdr:rowOff>
    </xdr:to>
    <xdr:sp macro="" textlink="">
      <xdr:nvSpPr>
        <xdr:cNvPr id="131" name="TextBox 130">
          <a:extLst>
            <a:ext uri="{FF2B5EF4-FFF2-40B4-BE49-F238E27FC236}">
              <a16:creationId xmlns:a16="http://schemas.microsoft.com/office/drawing/2014/main" id="{3E43B99C-E5C5-413C-956C-49A2C70223B3}"/>
            </a:ext>
          </a:extLst>
        </xdr:cNvPr>
        <xdr:cNvSpPr txBox="1"/>
      </xdr:nvSpPr>
      <xdr:spPr>
        <a:xfrm>
          <a:off x="7551420" y="3482340"/>
          <a:ext cx="2438400" cy="365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200" b="1">
              <a:solidFill>
                <a:srgbClr val="FFC000"/>
              </a:solidFill>
              <a:latin typeface="+mn-lt"/>
              <a:ea typeface="+mn-ea"/>
              <a:cs typeface="+mn-cs"/>
            </a:rPr>
            <a:t>Employments   </a:t>
          </a:r>
          <a:r>
            <a:rPr lang="en-IN" sz="1200" b="1" baseline="0">
              <a:solidFill>
                <a:srgbClr val="FFC000"/>
              </a:solidFill>
              <a:latin typeface="+mn-lt"/>
              <a:ea typeface="+mn-ea"/>
              <a:cs typeface="+mn-cs"/>
            </a:rPr>
            <a:t> Status    BreakDown</a:t>
          </a:r>
          <a:endParaRPr lang="en-IN" sz="1200" b="1">
            <a:solidFill>
              <a:srgbClr val="FFC000"/>
            </a:solidFill>
            <a:latin typeface="+mn-lt"/>
            <a:ea typeface="+mn-ea"/>
            <a:cs typeface="+mn-cs"/>
          </a:endParaRPr>
        </a:p>
      </xdr:txBody>
    </xdr:sp>
    <xdr:clientData/>
  </xdr:twoCellAnchor>
  <xdr:twoCellAnchor>
    <xdr:from>
      <xdr:col>12</xdr:col>
      <xdr:colOff>60960</xdr:colOff>
      <xdr:row>19</xdr:row>
      <xdr:rowOff>178037</xdr:rowOff>
    </xdr:from>
    <xdr:to>
      <xdr:col>15</xdr:col>
      <xdr:colOff>0</xdr:colOff>
      <xdr:row>26</xdr:row>
      <xdr:rowOff>178037</xdr:rowOff>
    </xdr:to>
    <xdr:graphicFrame macro="">
      <xdr:nvGraphicFramePr>
        <xdr:cNvPr id="132" name="Chart 131">
          <a:extLst>
            <a:ext uri="{FF2B5EF4-FFF2-40B4-BE49-F238E27FC236}">
              <a16:creationId xmlns:a16="http://schemas.microsoft.com/office/drawing/2014/main" id="{F79EAF71-36D3-4708-ABD5-86788637F0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5719</xdr:colOff>
      <xdr:row>21</xdr:row>
      <xdr:rowOff>5719</xdr:rowOff>
    </xdr:from>
    <xdr:to>
      <xdr:col>16</xdr:col>
      <xdr:colOff>185719</xdr:colOff>
      <xdr:row>22</xdr:row>
      <xdr:rowOff>2839</xdr:rowOff>
    </xdr:to>
    <xdr:sp macro="" textlink="">
      <xdr:nvSpPr>
        <xdr:cNvPr id="135" name="Oval 134">
          <a:extLst>
            <a:ext uri="{FF2B5EF4-FFF2-40B4-BE49-F238E27FC236}">
              <a16:creationId xmlns:a16="http://schemas.microsoft.com/office/drawing/2014/main" id="{E46C2951-726D-1D03-57D0-30119E077FD5}"/>
            </a:ext>
          </a:extLst>
        </xdr:cNvPr>
        <xdr:cNvSpPr/>
      </xdr:nvSpPr>
      <xdr:spPr>
        <a:xfrm rot="10573973" flipV="1">
          <a:off x="9759319" y="3853819"/>
          <a:ext cx="180000" cy="180000"/>
        </a:xfrm>
        <a:prstGeom prst="ellipse">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5718</xdr:colOff>
      <xdr:row>27</xdr:row>
      <xdr:rowOff>5718</xdr:rowOff>
    </xdr:from>
    <xdr:to>
      <xdr:col>16</xdr:col>
      <xdr:colOff>185718</xdr:colOff>
      <xdr:row>28</xdr:row>
      <xdr:rowOff>2838</xdr:rowOff>
    </xdr:to>
    <xdr:sp macro="" textlink="">
      <xdr:nvSpPr>
        <xdr:cNvPr id="136" name="Oval 135">
          <a:extLst>
            <a:ext uri="{FF2B5EF4-FFF2-40B4-BE49-F238E27FC236}">
              <a16:creationId xmlns:a16="http://schemas.microsoft.com/office/drawing/2014/main" id="{5D6AD083-D9F9-496B-B5E4-2D310FC920E4}"/>
            </a:ext>
          </a:extLst>
        </xdr:cNvPr>
        <xdr:cNvSpPr/>
      </xdr:nvSpPr>
      <xdr:spPr>
        <a:xfrm rot="10573973" flipV="1">
          <a:off x="9759318" y="4951098"/>
          <a:ext cx="180000" cy="180000"/>
        </a:xfrm>
        <a:prstGeom prst="ellipse">
          <a:avLst/>
        </a:prstGeom>
        <a:solidFill>
          <a:schemeClr val="tx1">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516258</xdr:colOff>
      <xdr:row>27</xdr:row>
      <xdr:rowOff>74299</xdr:rowOff>
    </xdr:from>
    <xdr:to>
      <xdr:col>14</xdr:col>
      <xdr:colOff>86658</xdr:colOff>
      <xdr:row>28</xdr:row>
      <xdr:rowOff>71419</xdr:rowOff>
    </xdr:to>
    <xdr:sp macro="" textlink="">
      <xdr:nvSpPr>
        <xdr:cNvPr id="137" name="Oval 136">
          <a:extLst>
            <a:ext uri="{FF2B5EF4-FFF2-40B4-BE49-F238E27FC236}">
              <a16:creationId xmlns:a16="http://schemas.microsoft.com/office/drawing/2014/main" id="{6EA62FB6-4221-475F-ACA2-AAFA3FF40923}"/>
            </a:ext>
          </a:extLst>
        </xdr:cNvPr>
        <xdr:cNvSpPr/>
      </xdr:nvSpPr>
      <xdr:spPr>
        <a:xfrm rot="10573973" flipV="1">
          <a:off x="8441058" y="5019679"/>
          <a:ext cx="180000" cy="180000"/>
        </a:xfrm>
        <a:prstGeom prst="ellipse">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295257</xdr:colOff>
      <xdr:row>22</xdr:row>
      <xdr:rowOff>0</xdr:rowOff>
    </xdr:from>
    <xdr:to>
      <xdr:col>7</xdr:col>
      <xdr:colOff>462897</xdr:colOff>
      <xdr:row>32</xdr:row>
      <xdr:rowOff>163794</xdr:rowOff>
    </xdr:to>
    <xdr:graphicFrame macro="">
      <xdr:nvGraphicFramePr>
        <xdr:cNvPr id="138" name="Chart 137">
          <a:extLst>
            <a:ext uri="{FF2B5EF4-FFF2-40B4-BE49-F238E27FC236}">
              <a16:creationId xmlns:a16="http://schemas.microsoft.com/office/drawing/2014/main" id="{F3C8D20C-1190-47F1-9D69-207718875C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0</xdr:colOff>
      <xdr:row>20</xdr:row>
      <xdr:rowOff>0</xdr:rowOff>
    </xdr:from>
    <xdr:to>
      <xdr:col>5</xdr:col>
      <xdr:colOff>300028</xdr:colOff>
      <xdr:row>22</xdr:row>
      <xdr:rowOff>0</xdr:rowOff>
    </xdr:to>
    <xdr:sp macro="" textlink="">
      <xdr:nvSpPr>
        <xdr:cNvPr id="139" name="TextBox 138">
          <a:extLst>
            <a:ext uri="{FF2B5EF4-FFF2-40B4-BE49-F238E27FC236}">
              <a16:creationId xmlns:a16="http://schemas.microsoft.com/office/drawing/2014/main" id="{AE0E1354-C30D-4617-90A7-602017B3C090}"/>
            </a:ext>
          </a:extLst>
        </xdr:cNvPr>
        <xdr:cNvSpPr txBox="1"/>
      </xdr:nvSpPr>
      <xdr:spPr>
        <a:xfrm flipH="1">
          <a:off x="2449794" y="3710299"/>
          <a:ext cx="912477" cy="3703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200" b="1">
              <a:solidFill>
                <a:srgbClr val="FFC000"/>
              </a:solidFill>
              <a:latin typeface="+mn-lt"/>
              <a:ea typeface="+mn-ea"/>
              <a:cs typeface="+mn-cs"/>
            </a:rPr>
            <a:t>Age</a:t>
          </a:r>
          <a:r>
            <a:rPr lang="en-IN" sz="1200" b="1" baseline="0">
              <a:solidFill>
                <a:srgbClr val="FFC000"/>
              </a:solidFill>
              <a:latin typeface="+mn-lt"/>
              <a:ea typeface="+mn-ea"/>
              <a:cs typeface="+mn-cs"/>
            </a:rPr>
            <a:t> Range</a:t>
          </a:r>
          <a:endParaRPr lang="en-IN" sz="1200" b="1">
            <a:solidFill>
              <a:srgbClr val="FFC000"/>
            </a:solidFill>
            <a:latin typeface="+mn-lt"/>
            <a:ea typeface="+mn-ea"/>
            <a:cs typeface="+mn-cs"/>
          </a:endParaRPr>
        </a:p>
      </xdr:txBody>
    </xdr:sp>
    <xdr:clientData/>
  </xdr:twoCellAnchor>
  <xdr:twoCellAnchor>
    <xdr:from>
      <xdr:col>3</xdr:col>
      <xdr:colOff>381470</xdr:colOff>
      <xdr:row>21</xdr:row>
      <xdr:rowOff>862</xdr:rowOff>
    </xdr:from>
    <xdr:to>
      <xdr:col>7</xdr:col>
      <xdr:colOff>0</xdr:colOff>
      <xdr:row>24</xdr:row>
      <xdr:rowOff>863</xdr:rowOff>
    </xdr:to>
    <xdr:sp macro="" textlink="">
      <xdr:nvSpPr>
        <xdr:cNvPr id="140" name="TextBox 139">
          <a:extLst>
            <a:ext uri="{FF2B5EF4-FFF2-40B4-BE49-F238E27FC236}">
              <a16:creationId xmlns:a16="http://schemas.microsoft.com/office/drawing/2014/main" id="{113C0BCD-3345-43CB-891D-BFB7E787EBBA}"/>
            </a:ext>
          </a:extLst>
        </xdr:cNvPr>
        <xdr:cNvSpPr txBox="1"/>
      </xdr:nvSpPr>
      <xdr:spPr>
        <a:xfrm>
          <a:off x="2218816" y="3896320"/>
          <a:ext cx="2068324" cy="5554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100" b="0">
              <a:solidFill>
                <a:schemeClr val="bg2">
                  <a:lumMod val="50000"/>
                </a:schemeClr>
              </a:solidFill>
              <a:latin typeface="+mn-lt"/>
              <a:ea typeface="+mn-ea"/>
              <a:cs typeface="+mn-cs"/>
            </a:rPr>
            <a:t>No</a:t>
          </a:r>
          <a:r>
            <a:rPr lang="en-IN" sz="1100" b="0" baseline="0">
              <a:solidFill>
                <a:schemeClr val="bg2">
                  <a:lumMod val="50000"/>
                </a:schemeClr>
              </a:solidFill>
              <a:latin typeface="+mn-lt"/>
              <a:ea typeface="+mn-ea"/>
              <a:cs typeface="+mn-cs"/>
            </a:rPr>
            <a:t> of employees according to Age Ranges and Genders</a:t>
          </a:r>
          <a:endParaRPr lang="en-IN" sz="1100" b="0">
            <a:solidFill>
              <a:schemeClr val="bg2">
                <a:lumMod val="50000"/>
              </a:schemeClr>
            </a:solidFill>
            <a:latin typeface="+mn-lt"/>
            <a:ea typeface="+mn-ea"/>
            <a:cs typeface="+mn-cs"/>
          </a:endParaRPr>
        </a:p>
      </xdr:txBody>
    </xdr:sp>
    <xdr:clientData/>
  </xdr:twoCellAnchor>
  <xdr:twoCellAnchor>
    <xdr:from>
      <xdr:col>0</xdr:col>
      <xdr:colOff>198120</xdr:colOff>
      <xdr:row>27</xdr:row>
      <xdr:rowOff>132985</xdr:rowOff>
    </xdr:from>
    <xdr:to>
      <xdr:col>3</xdr:col>
      <xdr:colOff>0</xdr:colOff>
      <xdr:row>31</xdr:row>
      <xdr:rowOff>1</xdr:rowOff>
    </xdr:to>
    <xdr:graphicFrame macro="">
      <xdr:nvGraphicFramePr>
        <xdr:cNvPr id="144" name="Chart 143">
          <a:extLst>
            <a:ext uri="{FF2B5EF4-FFF2-40B4-BE49-F238E27FC236}">
              <a16:creationId xmlns:a16="http://schemas.microsoft.com/office/drawing/2014/main" id="{F23B7372-D849-4330-9C3B-2362698D9B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217918</xdr:colOff>
      <xdr:row>30</xdr:row>
      <xdr:rowOff>0</xdr:rowOff>
    </xdr:from>
    <xdr:to>
      <xdr:col>3</xdr:col>
      <xdr:colOff>0</xdr:colOff>
      <xdr:row>32</xdr:row>
      <xdr:rowOff>185158</xdr:rowOff>
    </xdr:to>
    <xdr:graphicFrame macro="">
      <xdr:nvGraphicFramePr>
        <xdr:cNvPr id="145" name="Chart 144">
          <a:extLst>
            <a:ext uri="{FF2B5EF4-FFF2-40B4-BE49-F238E27FC236}">
              <a16:creationId xmlns:a16="http://schemas.microsoft.com/office/drawing/2014/main" id="{25B76443-9506-41B1-A15F-7747782238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235010</xdr:colOff>
      <xdr:row>25</xdr:row>
      <xdr:rowOff>0</xdr:rowOff>
    </xdr:from>
    <xdr:to>
      <xdr:col>2</xdr:col>
      <xdr:colOff>1</xdr:colOff>
      <xdr:row>28</xdr:row>
      <xdr:rowOff>99703</xdr:rowOff>
    </xdr:to>
    <xdr:graphicFrame macro="">
      <xdr:nvGraphicFramePr>
        <xdr:cNvPr id="146" name="Chart 145">
          <a:extLst>
            <a:ext uri="{FF2B5EF4-FFF2-40B4-BE49-F238E27FC236}">
              <a16:creationId xmlns:a16="http://schemas.microsoft.com/office/drawing/2014/main" id="{377ECD78-AE3B-4D43-9230-38ECE9F157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206523</xdr:colOff>
      <xdr:row>27</xdr:row>
      <xdr:rowOff>106822</xdr:rowOff>
    </xdr:from>
    <xdr:to>
      <xdr:col>2</xdr:col>
      <xdr:colOff>85458</xdr:colOff>
      <xdr:row>29</xdr:row>
      <xdr:rowOff>0</xdr:rowOff>
    </xdr:to>
    <xdr:sp macro="" textlink="">
      <xdr:nvSpPr>
        <xdr:cNvPr id="147" name="TextBox 146">
          <a:extLst>
            <a:ext uri="{FF2B5EF4-FFF2-40B4-BE49-F238E27FC236}">
              <a16:creationId xmlns:a16="http://schemas.microsoft.com/office/drawing/2014/main" id="{B7B33ECF-4917-4307-B2A3-F35F77FE1D2D}"/>
            </a:ext>
          </a:extLst>
        </xdr:cNvPr>
        <xdr:cNvSpPr txBox="1"/>
      </xdr:nvSpPr>
      <xdr:spPr>
        <a:xfrm>
          <a:off x="206523" y="5113233"/>
          <a:ext cx="1103832" cy="2634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200">
              <a:solidFill>
                <a:schemeClr val="bg1"/>
              </a:solidFill>
              <a:latin typeface="+mn-lt"/>
              <a:ea typeface="+mn-ea"/>
              <a:cs typeface="+mn-cs"/>
            </a:rPr>
            <a:t>Head Office </a:t>
          </a:r>
        </a:p>
      </xdr:txBody>
    </xdr:sp>
    <xdr:clientData/>
  </xdr:twoCellAnchor>
  <xdr:twoCellAnchor>
    <xdr:from>
      <xdr:col>0</xdr:col>
      <xdr:colOff>220766</xdr:colOff>
      <xdr:row>25</xdr:row>
      <xdr:rowOff>0</xdr:rowOff>
    </xdr:from>
    <xdr:to>
      <xdr:col>2</xdr:col>
      <xdr:colOff>220767</xdr:colOff>
      <xdr:row>26</xdr:row>
      <xdr:rowOff>93719</xdr:rowOff>
    </xdr:to>
    <xdr:sp macro="" textlink="">
      <xdr:nvSpPr>
        <xdr:cNvPr id="148" name="TextBox 147">
          <a:extLst>
            <a:ext uri="{FF2B5EF4-FFF2-40B4-BE49-F238E27FC236}">
              <a16:creationId xmlns:a16="http://schemas.microsoft.com/office/drawing/2014/main" id="{6EF15566-DDC0-4560-BE21-7EF00E99881E}"/>
            </a:ext>
          </a:extLst>
        </xdr:cNvPr>
        <xdr:cNvSpPr txBox="1"/>
      </xdr:nvSpPr>
      <xdr:spPr>
        <a:xfrm>
          <a:off x="220766" y="4636093"/>
          <a:ext cx="1224898" cy="2788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200">
              <a:solidFill>
                <a:schemeClr val="bg1"/>
              </a:solidFill>
              <a:latin typeface="+mn-lt"/>
              <a:ea typeface="+mn-ea"/>
              <a:cs typeface="+mn-cs"/>
            </a:rPr>
            <a:t>Branch Office </a:t>
          </a:r>
        </a:p>
      </xdr:txBody>
    </xdr:sp>
    <xdr:clientData/>
  </xdr:twoCellAnchor>
  <xdr:twoCellAnchor>
    <xdr:from>
      <xdr:col>2</xdr:col>
      <xdr:colOff>121065</xdr:colOff>
      <xdr:row>28</xdr:row>
      <xdr:rowOff>106822</xdr:rowOff>
    </xdr:from>
    <xdr:to>
      <xdr:col>4</xdr:col>
      <xdr:colOff>0</xdr:colOff>
      <xdr:row>30</xdr:row>
      <xdr:rowOff>0</xdr:rowOff>
    </xdr:to>
    <xdr:sp macro="" textlink="'pivot table'!R12">
      <xdr:nvSpPr>
        <xdr:cNvPr id="149" name="TextBox 148">
          <a:extLst>
            <a:ext uri="{FF2B5EF4-FFF2-40B4-BE49-F238E27FC236}">
              <a16:creationId xmlns:a16="http://schemas.microsoft.com/office/drawing/2014/main" id="{4E96C14D-F9ED-B78F-6FA5-2173990B356A}"/>
            </a:ext>
          </a:extLst>
        </xdr:cNvPr>
        <xdr:cNvSpPr txBox="1"/>
      </xdr:nvSpPr>
      <xdr:spPr>
        <a:xfrm>
          <a:off x="1345962" y="5298392"/>
          <a:ext cx="1103832" cy="2634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F765EED3-9BBE-4A50-9886-4C9D189B277E}" type="TxLink">
            <a:rPr lang="en-US" sz="1100" b="0" i="0" u="none" strike="noStrike">
              <a:solidFill>
                <a:schemeClr val="bg1"/>
              </a:solidFill>
              <a:latin typeface="Aptos Narrow"/>
              <a:ea typeface="+mn-ea"/>
              <a:cs typeface="+mn-cs"/>
            </a:rPr>
            <a:t>16%</a:t>
          </a:fld>
          <a:endParaRPr lang="en-IN" sz="1200">
            <a:solidFill>
              <a:schemeClr val="bg1"/>
            </a:solidFill>
            <a:latin typeface="+mn-lt"/>
            <a:ea typeface="+mn-ea"/>
            <a:cs typeface="+mn-cs"/>
          </a:endParaRPr>
        </a:p>
      </xdr:txBody>
    </xdr:sp>
    <xdr:clientData/>
  </xdr:twoCellAnchor>
  <xdr:twoCellAnchor>
    <xdr:from>
      <xdr:col>2</xdr:col>
      <xdr:colOff>142430</xdr:colOff>
      <xdr:row>26</xdr:row>
      <xdr:rowOff>91440</xdr:rowOff>
    </xdr:from>
    <xdr:to>
      <xdr:col>3</xdr:col>
      <xdr:colOff>142430</xdr:colOff>
      <xdr:row>28</xdr:row>
      <xdr:rowOff>0</xdr:rowOff>
    </xdr:to>
    <xdr:sp macro="" textlink="'pivot table'!R11">
      <xdr:nvSpPr>
        <xdr:cNvPr id="150" name="TextBox 149">
          <a:extLst>
            <a:ext uri="{FF2B5EF4-FFF2-40B4-BE49-F238E27FC236}">
              <a16:creationId xmlns:a16="http://schemas.microsoft.com/office/drawing/2014/main" id="{AD0D117E-7285-B3D1-5A29-E0C836D38EE8}"/>
            </a:ext>
          </a:extLst>
        </xdr:cNvPr>
        <xdr:cNvSpPr txBox="1"/>
      </xdr:nvSpPr>
      <xdr:spPr>
        <a:xfrm>
          <a:off x="1367327" y="4912692"/>
          <a:ext cx="612449" cy="2788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7CE2073A-478D-4DF3-A38D-819E6828B4A8}" type="TxLink">
            <a:rPr lang="en-US" sz="1100" b="0" i="0" u="none" strike="noStrike">
              <a:solidFill>
                <a:schemeClr val="bg1"/>
              </a:solidFill>
              <a:latin typeface="Aptos Narrow"/>
              <a:ea typeface="+mn-ea"/>
              <a:cs typeface="+mn-cs"/>
            </a:rPr>
            <a:t>46%</a:t>
          </a:fld>
          <a:endParaRPr lang="en-IN" sz="1200">
            <a:solidFill>
              <a:schemeClr val="bg1"/>
            </a:solidFill>
            <a:latin typeface="+mn-lt"/>
            <a:ea typeface="+mn-ea"/>
            <a:cs typeface="+mn-cs"/>
          </a:endParaRPr>
        </a:p>
      </xdr:txBody>
    </xdr:sp>
    <xdr:clientData/>
  </xdr:twoCellAnchor>
  <xdr:twoCellAnchor>
    <xdr:from>
      <xdr:col>2</xdr:col>
      <xdr:colOff>121065</xdr:colOff>
      <xdr:row>31</xdr:row>
      <xdr:rowOff>7121</xdr:rowOff>
    </xdr:from>
    <xdr:to>
      <xdr:col>4</xdr:col>
      <xdr:colOff>0</xdr:colOff>
      <xdr:row>32</xdr:row>
      <xdr:rowOff>85458</xdr:rowOff>
    </xdr:to>
    <xdr:sp macro="" textlink="'pivot table'!R13">
      <xdr:nvSpPr>
        <xdr:cNvPr id="152" name="TextBox 151">
          <a:extLst>
            <a:ext uri="{FF2B5EF4-FFF2-40B4-BE49-F238E27FC236}">
              <a16:creationId xmlns:a16="http://schemas.microsoft.com/office/drawing/2014/main" id="{36143CE0-D52D-46B2-9440-CFEEBD314614}"/>
            </a:ext>
          </a:extLst>
        </xdr:cNvPr>
        <xdr:cNvSpPr txBox="1"/>
      </xdr:nvSpPr>
      <xdr:spPr>
        <a:xfrm>
          <a:off x="1345962" y="5754168"/>
          <a:ext cx="1103832" cy="2634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1D0C6957-96F8-4C02-B329-55632D6A20EB}" type="TxLink">
            <a:rPr lang="en-US" sz="1100" b="0" i="0" u="none" strike="noStrike">
              <a:solidFill>
                <a:schemeClr val="bg1"/>
              </a:solidFill>
              <a:latin typeface="Aptos Narrow"/>
              <a:ea typeface="+mn-ea"/>
              <a:cs typeface="+mn-cs"/>
            </a:rPr>
            <a:t>38%</a:t>
          </a:fld>
          <a:endParaRPr lang="en-IN" sz="1200">
            <a:solidFill>
              <a:schemeClr val="bg1"/>
            </a:solidFill>
            <a:latin typeface="+mn-lt"/>
            <a:ea typeface="+mn-ea"/>
            <a:cs typeface="+mn-cs"/>
          </a:endParaRPr>
        </a:p>
      </xdr:txBody>
    </xdr:sp>
    <xdr:clientData/>
  </xdr:twoCellAnchor>
  <xdr:twoCellAnchor>
    <xdr:from>
      <xdr:col>0</xdr:col>
      <xdr:colOff>327591</xdr:colOff>
      <xdr:row>23</xdr:row>
      <xdr:rowOff>0</xdr:rowOff>
    </xdr:from>
    <xdr:to>
      <xdr:col>2</xdr:col>
      <xdr:colOff>327590</xdr:colOff>
      <xdr:row>25</xdr:row>
      <xdr:rowOff>1</xdr:rowOff>
    </xdr:to>
    <xdr:sp macro="" textlink="">
      <xdr:nvSpPr>
        <xdr:cNvPr id="157" name="TextBox 156">
          <a:extLst>
            <a:ext uri="{FF2B5EF4-FFF2-40B4-BE49-F238E27FC236}">
              <a16:creationId xmlns:a16="http://schemas.microsoft.com/office/drawing/2014/main" id="{94EE9246-0D33-41C9-92C0-A3C7A97FF80C}"/>
            </a:ext>
          </a:extLst>
        </xdr:cNvPr>
        <xdr:cNvSpPr txBox="1"/>
      </xdr:nvSpPr>
      <xdr:spPr>
        <a:xfrm flipH="1">
          <a:off x="327591" y="4265776"/>
          <a:ext cx="1224896" cy="3703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200" b="1">
              <a:solidFill>
                <a:srgbClr val="FFC000"/>
              </a:solidFill>
              <a:latin typeface="+mn-lt"/>
              <a:ea typeface="+mn-ea"/>
              <a:cs typeface="+mn-cs"/>
            </a:rPr>
            <a:t>Work</a:t>
          </a:r>
          <a:r>
            <a:rPr lang="en-IN" sz="1200" b="1" baseline="0">
              <a:solidFill>
                <a:srgbClr val="FFC000"/>
              </a:solidFill>
              <a:latin typeface="+mn-lt"/>
              <a:ea typeface="+mn-ea"/>
              <a:cs typeface="+mn-cs"/>
            </a:rPr>
            <a:t> Location</a:t>
          </a:r>
          <a:endParaRPr lang="en-IN" sz="1200" b="1">
            <a:solidFill>
              <a:srgbClr val="FFC000"/>
            </a:solidFill>
            <a:latin typeface="+mn-lt"/>
            <a:ea typeface="+mn-ea"/>
            <a:cs typeface="+mn-cs"/>
          </a:endParaRPr>
        </a:p>
      </xdr:txBody>
    </xdr:sp>
    <xdr:clientData/>
  </xdr:twoCellAnchor>
  <xdr:twoCellAnchor>
    <xdr:from>
      <xdr:col>0</xdr:col>
      <xdr:colOff>0</xdr:colOff>
      <xdr:row>23</xdr:row>
      <xdr:rowOff>156673</xdr:rowOff>
    </xdr:from>
    <xdr:to>
      <xdr:col>3</xdr:col>
      <xdr:colOff>230978</xdr:colOff>
      <xdr:row>25</xdr:row>
      <xdr:rowOff>127873</xdr:rowOff>
    </xdr:to>
    <xdr:sp macro="" textlink="">
      <xdr:nvSpPr>
        <xdr:cNvPr id="158" name="TextBox 157">
          <a:extLst>
            <a:ext uri="{FF2B5EF4-FFF2-40B4-BE49-F238E27FC236}">
              <a16:creationId xmlns:a16="http://schemas.microsoft.com/office/drawing/2014/main" id="{4C850658-0B82-4A57-BFE1-1CCDDD76472B}"/>
            </a:ext>
          </a:extLst>
        </xdr:cNvPr>
        <xdr:cNvSpPr txBox="1"/>
      </xdr:nvSpPr>
      <xdr:spPr>
        <a:xfrm>
          <a:off x="0" y="4422449"/>
          <a:ext cx="2068324" cy="3415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100" b="0">
              <a:solidFill>
                <a:schemeClr val="bg2">
                  <a:lumMod val="50000"/>
                </a:schemeClr>
              </a:solidFill>
              <a:latin typeface="+mn-lt"/>
              <a:ea typeface="+mn-ea"/>
              <a:cs typeface="+mn-cs"/>
            </a:rPr>
            <a:t>Employees</a:t>
          </a:r>
          <a:r>
            <a:rPr lang="en-IN" sz="1100" b="0" baseline="0">
              <a:solidFill>
                <a:schemeClr val="bg2">
                  <a:lumMod val="50000"/>
                </a:schemeClr>
              </a:solidFill>
              <a:latin typeface="+mn-lt"/>
              <a:ea typeface="+mn-ea"/>
              <a:cs typeface="+mn-cs"/>
            </a:rPr>
            <a:t> to work place</a:t>
          </a:r>
          <a:endParaRPr lang="en-IN" sz="1100" b="0">
            <a:solidFill>
              <a:schemeClr val="bg2">
                <a:lumMod val="50000"/>
              </a:schemeClr>
            </a:solidFill>
            <a:latin typeface="+mn-lt"/>
            <a:ea typeface="+mn-ea"/>
            <a:cs typeface="+mn-cs"/>
          </a:endParaRPr>
        </a:p>
      </xdr:txBody>
    </xdr:sp>
    <xdr:clientData/>
  </xdr:twoCellAnchor>
  <xdr:twoCellAnchor>
    <xdr:from>
      <xdr:col>0</xdr:col>
      <xdr:colOff>0</xdr:colOff>
      <xdr:row>14</xdr:row>
      <xdr:rowOff>85458</xdr:rowOff>
    </xdr:from>
    <xdr:to>
      <xdr:col>2</xdr:col>
      <xdr:colOff>0</xdr:colOff>
      <xdr:row>15</xdr:row>
      <xdr:rowOff>179177</xdr:rowOff>
    </xdr:to>
    <xdr:sp macro="" textlink="">
      <xdr:nvSpPr>
        <xdr:cNvPr id="159" name="TextBox 158">
          <a:extLst>
            <a:ext uri="{FF2B5EF4-FFF2-40B4-BE49-F238E27FC236}">
              <a16:creationId xmlns:a16="http://schemas.microsoft.com/office/drawing/2014/main" id="{A3C587FF-D397-4383-9E0B-7A0724A47CFC}"/>
            </a:ext>
          </a:extLst>
        </xdr:cNvPr>
        <xdr:cNvSpPr txBox="1"/>
      </xdr:nvSpPr>
      <xdr:spPr>
        <a:xfrm>
          <a:off x="0" y="2684804"/>
          <a:ext cx="1224897" cy="2788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100" b="0" baseline="0">
              <a:solidFill>
                <a:schemeClr val="bg1"/>
              </a:solidFill>
              <a:latin typeface="+mn-lt"/>
              <a:ea typeface="+mn-ea"/>
              <a:cs typeface="+mn-cs"/>
            </a:rPr>
            <a:t>Communication</a:t>
          </a:r>
        </a:p>
      </xdr:txBody>
    </xdr:sp>
    <xdr:clientData/>
  </xdr:twoCellAnchor>
  <xdr:twoCellAnchor>
    <xdr:from>
      <xdr:col>0</xdr:col>
      <xdr:colOff>0</xdr:colOff>
      <xdr:row>15</xdr:row>
      <xdr:rowOff>99701</xdr:rowOff>
    </xdr:from>
    <xdr:to>
      <xdr:col>2</xdr:col>
      <xdr:colOff>0</xdr:colOff>
      <xdr:row>17</xdr:row>
      <xdr:rowOff>23502</xdr:rowOff>
    </xdr:to>
    <xdr:sp macro="" textlink="">
      <xdr:nvSpPr>
        <xdr:cNvPr id="160" name="TextBox 159">
          <a:extLst>
            <a:ext uri="{FF2B5EF4-FFF2-40B4-BE49-F238E27FC236}">
              <a16:creationId xmlns:a16="http://schemas.microsoft.com/office/drawing/2014/main" id="{95A9DAB2-19FD-4E28-ACAB-B49DA536464D}"/>
            </a:ext>
          </a:extLst>
        </xdr:cNvPr>
        <xdr:cNvSpPr txBox="1"/>
      </xdr:nvSpPr>
      <xdr:spPr>
        <a:xfrm>
          <a:off x="0" y="2884206"/>
          <a:ext cx="1224897" cy="2941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000" b="0">
              <a:solidFill>
                <a:schemeClr val="bg1"/>
              </a:solidFill>
              <a:latin typeface="+mn-lt"/>
              <a:ea typeface="+mn-ea"/>
              <a:cs typeface="+mn-cs"/>
            </a:rPr>
            <a:t>Design</a:t>
          </a:r>
        </a:p>
      </xdr:txBody>
    </xdr:sp>
    <xdr:clientData/>
  </xdr:twoCellAnchor>
  <xdr:twoCellAnchor>
    <xdr:from>
      <xdr:col>0</xdr:col>
      <xdr:colOff>0</xdr:colOff>
      <xdr:row>16</xdr:row>
      <xdr:rowOff>108958</xdr:rowOff>
    </xdr:from>
    <xdr:to>
      <xdr:col>2</xdr:col>
      <xdr:colOff>0</xdr:colOff>
      <xdr:row>18</xdr:row>
      <xdr:rowOff>15240</xdr:rowOff>
    </xdr:to>
    <xdr:sp macro="" textlink="">
      <xdr:nvSpPr>
        <xdr:cNvPr id="161" name="TextBox 160">
          <a:extLst>
            <a:ext uri="{FF2B5EF4-FFF2-40B4-BE49-F238E27FC236}">
              <a16:creationId xmlns:a16="http://schemas.microsoft.com/office/drawing/2014/main" id="{863613BB-DE7D-4E63-A500-EE41D14D584A}"/>
            </a:ext>
          </a:extLst>
        </xdr:cNvPr>
        <xdr:cNvSpPr txBox="1"/>
      </xdr:nvSpPr>
      <xdr:spPr>
        <a:xfrm>
          <a:off x="0" y="3078622"/>
          <a:ext cx="1224897" cy="2765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100" b="0" baseline="0">
              <a:solidFill>
                <a:schemeClr val="bg1"/>
              </a:solidFill>
              <a:latin typeface="+mn-lt"/>
              <a:ea typeface="+mn-ea"/>
              <a:cs typeface="+mn-cs"/>
            </a:rPr>
            <a:t>Excel</a:t>
          </a:r>
        </a:p>
      </xdr:txBody>
    </xdr:sp>
    <xdr:clientData/>
  </xdr:twoCellAnchor>
  <xdr:twoCellAnchor>
    <xdr:from>
      <xdr:col>0</xdr:col>
      <xdr:colOff>0</xdr:colOff>
      <xdr:row>18</xdr:row>
      <xdr:rowOff>0</xdr:rowOff>
    </xdr:from>
    <xdr:to>
      <xdr:col>1</xdr:col>
      <xdr:colOff>306223</xdr:colOff>
      <xdr:row>19</xdr:row>
      <xdr:rowOff>108959</xdr:rowOff>
    </xdr:to>
    <xdr:sp macro="" textlink="">
      <xdr:nvSpPr>
        <xdr:cNvPr id="162" name="TextBox 161">
          <a:extLst>
            <a:ext uri="{FF2B5EF4-FFF2-40B4-BE49-F238E27FC236}">
              <a16:creationId xmlns:a16="http://schemas.microsoft.com/office/drawing/2014/main" id="{AD6A8144-E3C6-42E8-ACEE-463E56C5E336}"/>
            </a:ext>
          </a:extLst>
        </xdr:cNvPr>
        <xdr:cNvSpPr txBox="1"/>
      </xdr:nvSpPr>
      <xdr:spPr>
        <a:xfrm>
          <a:off x="0" y="3339981"/>
          <a:ext cx="918672" cy="2941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100" b="0">
              <a:solidFill>
                <a:schemeClr val="bg1"/>
              </a:solidFill>
              <a:latin typeface="+mn-lt"/>
              <a:ea typeface="+mn-ea"/>
              <a:cs typeface="+mn-cs"/>
            </a:rPr>
            <a:t>Management</a:t>
          </a:r>
        </a:p>
      </xdr:txBody>
    </xdr:sp>
    <xdr:clientData/>
  </xdr:twoCellAnchor>
  <xdr:twoCellAnchor>
    <xdr:from>
      <xdr:col>0</xdr:col>
      <xdr:colOff>0</xdr:colOff>
      <xdr:row>19</xdr:row>
      <xdr:rowOff>76200</xdr:rowOff>
    </xdr:from>
    <xdr:to>
      <xdr:col>2</xdr:col>
      <xdr:colOff>0</xdr:colOff>
      <xdr:row>21</xdr:row>
      <xdr:rowOff>60960</xdr:rowOff>
    </xdr:to>
    <xdr:sp macro="" textlink="">
      <xdr:nvSpPr>
        <xdr:cNvPr id="163" name="TextBox 162">
          <a:extLst>
            <a:ext uri="{FF2B5EF4-FFF2-40B4-BE49-F238E27FC236}">
              <a16:creationId xmlns:a16="http://schemas.microsoft.com/office/drawing/2014/main" id="{EAF2EC0C-74AF-4E09-A497-613EC361BD05}"/>
            </a:ext>
          </a:extLst>
        </xdr:cNvPr>
        <xdr:cNvSpPr txBox="1"/>
      </xdr:nvSpPr>
      <xdr:spPr>
        <a:xfrm>
          <a:off x="0" y="3601340"/>
          <a:ext cx="1224897" cy="3550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100" b="0">
              <a:solidFill>
                <a:schemeClr val="bg1"/>
              </a:solidFill>
              <a:latin typeface="+mn-lt"/>
              <a:ea typeface="+mn-ea"/>
              <a:cs typeface="+mn-cs"/>
            </a:rPr>
            <a:t>Python</a:t>
          </a:r>
        </a:p>
      </xdr:txBody>
    </xdr:sp>
    <xdr:clientData/>
  </xdr:twoCellAnchor>
  <xdr:twoCellAnchor>
    <xdr:from>
      <xdr:col>2</xdr:col>
      <xdr:colOff>192281</xdr:colOff>
      <xdr:row>14</xdr:row>
      <xdr:rowOff>0</xdr:rowOff>
    </xdr:from>
    <xdr:to>
      <xdr:col>3</xdr:col>
      <xdr:colOff>192281</xdr:colOff>
      <xdr:row>15</xdr:row>
      <xdr:rowOff>93719</xdr:rowOff>
    </xdr:to>
    <xdr:sp macro="" textlink="">
      <xdr:nvSpPr>
        <xdr:cNvPr id="172" name="TextBox 171">
          <a:extLst>
            <a:ext uri="{FF2B5EF4-FFF2-40B4-BE49-F238E27FC236}">
              <a16:creationId xmlns:a16="http://schemas.microsoft.com/office/drawing/2014/main" id="{533E6D5A-94E4-4F31-B3EA-8843A5685490}"/>
            </a:ext>
          </a:extLst>
        </xdr:cNvPr>
        <xdr:cNvSpPr txBox="1"/>
      </xdr:nvSpPr>
      <xdr:spPr>
        <a:xfrm>
          <a:off x="1417178" y="2599346"/>
          <a:ext cx="612449" cy="2788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400" b="1" baseline="0">
              <a:solidFill>
                <a:srgbClr val="FFC000"/>
              </a:solidFill>
              <a:latin typeface="+mn-lt"/>
              <a:ea typeface="+mn-ea"/>
              <a:cs typeface="+mn-cs"/>
            </a:rPr>
            <a:t>12</a:t>
          </a:r>
        </a:p>
      </xdr:txBody>
    </xdr:sp>
    <xdr:clientData/>
  </xdr:twoCellAnchor>
  <xdr:twoCellAnchor>
    <xdr:from>
      <xdr:col>2</xdr:col>
      <xdr:colOff>192281</xdr:colOff>
      <xdr:row>15</xdr:row>
      <xdr:rowOff>69077</xdr:rowOff>
    </xdr:from>
    <xdr:to>
      <xdr:col>3</xdr:col>
      <xdr:colOff>192281</xdr:colOff>
      <xdr:row>16</xdr:row>
      <xdr:rowOff>178036</xdr:rowOff>
    </xdr:to>
    <xdr:sp macro="" textlink="">
      <xdr:nvSpPr>
        <xdr:cNvPr id="173" name="TextBox 172">
          <a:extLst>
            <a:ext uri="{FF2B5EF4-FFF2-40B4-BE49-F238E27FC236}">
              <a16:creationId xmlns:a16="http://schemas.microsoft.com/office/drawing/2014/main" id="{3A027F00-52CA-4E42-A30D-62D4E07E4B82}"/>
            </a:ext>
          </a:extLst>
        </xdr:cNvPr>
        <xdr:cNvSpPr txBox="1"/>
      </xdr:nvSpPr>
      <xdr:spPr>
        <a:xfrm>
          <a:off x="1417178" y="2853582"/>
          <a:ext cx="612449" cy="2941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400" b="1">
              <a:solidFill>
                <a:srgbClr val="FFC000"/>
              </a:solidFill>
              <a:latin typeface="+mn-lt"/>
              <a:ea typeface="+mn-ea"/>
              <a:cs typeface="+mn-cs"/>
            </a:rPr>
            <a:t>11</a:t>
          </a:r>
        </a:p>
      </xdr:txBody>
    </xdr:sp>
    <xdr:clientData/>
  </xdr:twoCellAnchor>
  <xdr:twoCellAnchor>
    <xdr:from>
      <xdr:col>2</xdr:col>
      <xdr:colOff>192281</xdr:colOff>
      <xdr:row>16</xdr:row>
      <xdr:rowOff>108958</xdr:rowOff>
    </xdr:from>
    <xdr:to>
      <xdr:col>3</xdr:col>
      <xdr:colOff>192281</xdr:colOff>
      <xdr:row>18</xdr:row>
      <xdr:rowOff>15240</xdr:rowOff>
    </xdr:to>
    <xdr:sp macro="" textlink="">
      <xdr:nvSpPr>
        <xdr:cNvPr id="174" name="TextBox 173">
          <a:extLst>
            <a:ext uri="{FF2B5EF4-FFF2-40B4-BE49-F238E27FC236}">
              <a16:creationId xmlns:a16="http://schemas.microsoft.com/office/drawing/2014/main" id="{28EE77C3-1DEB-433B-ACFB-CC8868689276}"/>
            </a:ext>
          </a:extLst>
        </xdr:cNvPr>
        <xdr:cNvSpPr txBox="1"/>
      </xdr:nvSpPr>
      <xdr:spPr>
        <a:xfrm>
          <a:off x="1417178" y="3078622"/>
          <a:ext cx="612449" cy="2765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400" b="1" baseline="0">
              <a:solidFill>
                <a:srgbClr val="FFC000"/>
              </a:solidFill>
              <a:latin typeface="+mn-lt"/>
              <a:ea typeface="+mn-ea"/>
              <a:cs typeface="+mn-cs"/>
            </a:rPr>
            <a:t>7</a:t>
          </a:r>
        </a:p>
      </xdr:txBody>
    </xdr:sp>
    <xdr:clientData/>
  </xdr:twoCellAnchor>
  <xdr:twoCellAnchor>
    <xdr:from>
      <xdr:col>2</xdr:col>
      <xdr:colOff>192281</xdr:colOff>
      <xdr:row>18</xdr:row>
      <xdr:rowOff>0</xdr:rowOff>
    </xdr:from>
    <xdr:to>
      <xdr:col>3</xdr:col>
      <xdr:colOff>192281</xdr:colOff>
      <xdr:row>19</xdr:row>
      <xdr:rowOff>108959</xdr:rowOff>
    </xdr:to>
    <xdr:sp macro="" textlink="">
      <xdr:nvSpPr>
        <xdr:cNvPr id="175" name="TextBox 174">
          <a:extLst>
            <a:ext uri="{FF2B5EF4-FFF2-40B4-BE49-F238E27FC236}">
              <a16:creationId xmlns:a16="http://schemas.microsoft.com/office/drawing/2014/main" id="{C5497C0D-272F-4CAE-A807-FF28DCD7AD75}"/>
            </a:ext>
          </a:extLst>
        </xdr:cNvPr>
        <xdr:cNvSpPr txBox="1"/>
      </xdr:nvSpPr>
      <xdr:spPr>
        <a:xfrm>
          <a:off x="1417178" y="3339981"/>
          <a:ext cx="612449" cy="2941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400" b="1">
              <a:solidFill>
                <a:srgbClr val="FFC000"/>
              </a:solidFill>
              <a:latin typeface="+mn-lt"/>
              <a:ea typeface="+mn-ea"/>
              <a:cs typeface="+mn-cs"/>
            </a:rPr>
            <a:t>11</a:t>
          </a:r>
        </a:p>
      </xdr:txBody>
    </xdr:sp>
    <xdr:clientData/>
  </xdr:twoCellAnchor>
  <xdr:twoCellAnchor>
    <xdr:from>
      <xdr:col>2</xdr:col>
      <xdr:colOff>192281</xdr:colOff>
      <xdr:row>19</xdr:row>
      <xdr:rowOff>76200</xdr:rowOff>
    </xdr:from>
    <xdr:to>
      <xdr:col>3</xdr:col>
      <xdr:colOff>192281</xdr:colOff>
      <xdr:row>21</xdr:row>
      <xdr:rowOff>60960</xdr:rowOff>
    </xdr:to>
    <xdr:sp macro="" textlink="">
      <xdr:nvSpPr>
        <xdr:cNvPr id="176" name="TextBox 175">
          <a:extLst>
            <a:ext uri="{FF2B5EF4-FFF2-40B4-BE49-F238E27FC236}">
              <a16:creationId xmlns:a16="http://schemas.microsoft.com/office/drawing/2014/main" id="{8B44B09A-2C3B-4D3F-94EA-1EF417AE4C68}"/>
            </a:ext>
          </a:extLst>
        </xdr:cNvPr>
        <xdr:cNvSpPr txBox="1"/>
      </xdr:nvSpPr>
      <xdr:spPr>
        <a:xfrm>
          <a:off x="1417178" y="3601340"/>
          <a:ext cx="612449" cy="3550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400" b="1">
              <a:solidFill>
                <a:srgbClr val="FFC000"/>
              </a:solidFill>
              <a:latin typeface="+mn-lt"/>
              <a:ea typeface="+mn-ea"/>
              <a:cs typeface="+mn-cs"/>
            </a:rPr>
            <a:t>9</a:t>
          </a:r>
        </a:p>
      </xdr:txBody>
    </xdr:sp>
    <xdr:clientData/>
  </xdr:twoCellAnchor>
  <xdr:twoCellAnchor>
    <xdr:from>
      <xdr:col>0</xdr:col>
      <xdr:colOff>7620</xdr:colOff>
      <xdr:row>11</xdr:row>
      <xdr:rowOff>0</xdr:rowOff>
    </xdr:from>
    <xdr:to>
      <xdr:col>2</xdr:col>
      <xdr:colOff>0</xdr:colOff>
      <xdr:row>14</xdr:row>
      <xdr:rowOff>26136</xdr:rowOff>
    </xdr:to>
    <xdr:sp macro="" textlink="">
      <xdr:nvSpPr>
        <xdr:cNvPr id="179" name="TextBox 178">
          <a:extLst>
            <a:ext uri="{FF2B5EF4-FFF2-40B4-BE49-F238E27FC236}">
              <a16:creationId xmlns:a16="http://schemas.microsoft.com/office/drawing/2014/main" id="{A9F16EC5-971E-4F77-93D8-C3F88EA73164}"/>
            </a:ext>
          </a:extLst>
        </xdr:cNvPr>
        <xdr:cNvSpPr txBox="1"/>
      </xdr:nvSpPr>
      <xdr:spPr>
        <a:xfrm>
          <a:off x="7620" y="2043869"/>
          <a:ext cx="1217277" cy="5816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400" b="1">
              <a:solidFill>
                <a:srgbClr val="FFC000"/>
              </a:solidFill>
              <a:latin typeface="+mn-lt"/>
              <a:ea typeface="+mn-ea"/>
              <a:cs typeface="+mn-cs"/>
            </a:rPr>
            <a:t>Skills</a:t>
          </a:r>
          <a:r>
            <a:rPr lang="en-IN" sz="1400" b="1" baseline="0">
              <a:solidFill>
                <a:srgbClr val="FFC000"/>
              </a:solidFill>
              <a:latin typeface="+mn-lt"/>
              <a:ea typeface="+mn-ea"/>
              <a:cs typeface="+mn-cs"/>
            </a:rPr>
            <a:t> </a:t>
          </a:r>
        </a:p>
        <a:p>
          <a:pPr marL="0" indent="0"/>
          <a:r>
            <a:rPr lang="en-IN" sz="1400" b="1" baseline="0">
              <a:solidFill>
                <a:srgbClr val="FFC000"/>
              </a:solidFill>
              <a:latin typeface="+mn-lt"/>
              <a:ea typeface="+mn-ea"/>
              <a:cs typeface="+mn-cs"/>
            </a:rPr>
            <a:t>Breakdown</a:t>
          </a:r>
          <a:endParaRPr lang="en-IN" sz="1400" b="1">
            <a:solidFill>
              <a:srgbClr val="FFC000"/>
            </a:solidFill>
            <a:latin typeface="+mn-lt"/>
            <a:ea typeface="+mn-ea"/>
            <a:cs typeface="+mn-cs"/>
          </a:endParaRPr>
        </a:p>
      </xdr:txBody>
    </xdr:sp>
    <xdr:clientData/>
  </xdr:twoCellAnchor>
  <xdr:twoCellAnchor editAs="oneCell">
    <xdr:from>
      <xdr:col>1</xdr:col>
      <xdr:colOff>0</xdr:colOff>
      <xdr:row>7</xdr:row>
      <xdr:rowOff>0</xdr:rowOff>
    </xdr:from>
    <xdr:to>
      <xdr:col>3</xdr:col>
      <xdr:colOff>0</xdr:colOff>
      <xdr:row>12</xdr:row>
      <xdr:rowOff>0</xdr:rowOff>
    </xdr:to>
    <xdr:pic>
      <xdr:nvPicPr>
        <xdr:cNvPr id="180" name="Picture 179">
          <a:extLst>
            <a:ext uri="{FF2B5EF4-FFF2-40B4-BE49-F238E27FC236}">
              <a16:creationId xmlns:a16="http://schemas.microsoft.com/office/drawing/2014/main" id="{3EDF6515-74AF-43C9-77B3-8286285C8669}"/>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612449" y="1296112"/>
          <a:ext cx="1224897" cy="932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420169</xdr:colOff>
      <xdr:row>8</xdr:row>
      <xdr:rowOff>0</xdr:rowOff>
    </xdr:from>
    <xdr:to>
      <xdr:col>7</xdr:col>
      <xdr:colOff>0</xdr:colOff>
      <xdr:row>13</xdr:row>
      <xdr:rowOff>0</xdr:rowOff>
    </xdr:to>
    <xdr:pic>
      <xdr:nvPicPr>
        <xdr:cNvPr id="181" name="Picture 180">
          <a:extLst>
            <a:ext uri="{FF2B5EF4-FFF2-40B4-BE49-F238E27FC236}">
              <a16:creationId xmlns:a16="http://schemas.microsoft.com/office/drawing/2014/main" id="{9B497741-6774-956F-F981-27D77577DF35}"/>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3482412" y="1481271"/>
          <a:ext cx="804728" cy="932916"/>
        </a:xfrm>
        <a:prstGeom prst="rect">
          <a:avLst/>
        </a:prstGeom>
        <a:noFill/>
      </xdr:spPr>
    </xdr:pic>
    <xdr:clientData/>
  </xdr:twoCellAnchor>
  <xdr:twoCellAnchor>
    <xdr:from>
      <xdr:col>3</xdr:col>
      <xdr:colOff>598205</xdr:colOff>
      <xdr:row>7</xdr:row>
      <xdr:rowOff>7121</xdr:rowOff>
    </xdr:from>
    <xdr:to>
      <xdr:col>6</xdr:col>
      <xdr:colOff>370314</xdr:colOff>
      <xdr:row>9</xdr:row>
      <xdr:rowOff>0</xdr:rowOff>
    </xdr:to>
    <xdr:sp macro="" textlink="">
      <xdr:nvSpPr>
        <xdr:cNvPr id="182" name="TextBox 181">
          <a:extLst>
            <a:ext uri="{FF2B5EF4-FFF2-40B4-BE49-F238E27FC236}">
              <a16:creationId xmlns:a16="http://schemas.microsoft.com/office/drawing/2014/main" id="{69AD1880-7181-4707-9EB8-40FCD54D016F}"/>
            </a:ext>
          </a:extLst>
        </xdr:cNvPr>
        <xdr:cNvSpPr txBox="1"/>
      </xdr:nvSpPr>
      <xdr:spPr>
        <a:xfrm flipH="1">
          <a:off x="2435551" y="1303233"/>
          <a:ext cx="1609455" cy="3703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200" b="1">
              <a:solidFill>
                <a:srgbClr val="FFC000"/>
              </a:solidFill>
              <a:latin typeface="+mn-lt"/>
              <a:ea typeface="+mn-ea"/>
              <a:cs typeface="+mn-cs"/>
            </a:rPr>
            <a:t>EMPLOYEES</a:t>
          </a:r>
          <a:r>
            <a:rPr lang="en-IN" sz="1200" b="1" baseline="0">
              <a:solidFill>
                <a:srgbClr val="FFC000"/>
              </a:solidFill>
              <a:latin typeface="+mn-lt"/>
              <a:ea typeface="+mn-ea"/>
              <a:cs typeface="+mn-cs"/>
            </a:rPr>
            <a:t> NUMBER</a:t>
          </a:r>
          <a:endParaRPr lang="en-IN" sz="1200" b="1">
            <a:solidFill>
              <a:srgbClr val="FFC000"/>
            </a:solidFill>
            <a:latin typeface="+mn-lt"/>
            <a:ea typeface="+mn-ea"/>
            <a:cs typeface="+mn-cs"/>
          </a:endParaRPr>
        </a:p>
      </xdr:txBody>
    </xdr:sp>
    <xdr:clientData/>
  </xdr:twoCellAnchor>
  <xdr:twoCellAnchor>
    <xdr:from>
      <xdr:col>3</xdr:col>
      <xdr:colOff>591084</xdr:colOff>
      <xdr:row>8</xdr:row>
      <xdr:rowOff>49849</xdr:rowOff>
    </xdr:from>
    <xdr:to>
      <xdr:col>5</xdr:col>
      <xdr:colOff>591084</xdr:colOff>
      <xdr:row>11</xdr:row>
      <xdr:rowOff>185158</xdr:rowOff>
    </xdr:to>
    <xdr:sp macro="" textlink="">
      <xdr:nvSpPr>
        <xdr:cNvPr id="183" name="TextBox 182">
          <a:extLst>
            <a:ext uri="{FF2B5EF4-FFF2-40B4-BE49-F238E27FC236}">
              <a16:creationId xmlns:a16="http://schemas.microsoft.com/office/drawing/2014/main" id="{9CC0D299-9CEE-4E78-A75B-AFEC9202674C}"/>
            </a:ext>
          </a:extLst>
        </xdr:cNvPr>
        <xdr:cNvSpPr txBox="1"/>
      </xdr:nvSpPr>
      <xdr:spPr>
        <a:xfrm>
          <a:off x="2428430" y="1531120"/>
          <a:ext cx="1224897" cy="6979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4000" b="1" baseline="0">
              <a:solidFill>
                <a:schemeClr val="bg1"/>
              </a:solidFill>
              <a:latin typeface="+mn-lt"/>
              <a:ea typeface="+mn-ea"/>
              <a:cs typeface="+mn-cs"/>
            </a:rPr>
            <a:t>50</a:t>
          </a:r>
        </a:p>
      </xdr:txBody>
    </xdr:sp>
    <xdr:clientData/>
  </xdr:twoCellAnchor>
  <xdr:twoCellAnchor>
    <xdr:from>
      <xdr:col>4</xdr:col>
      <xdr:colOff>0</xdr:colOff>
      <xdr:row>11</xdr:row>
      <xdr:rowOff>20225</xdr:rowOff>
    </xdr:from>
    <xdr:to>
      <xdr:col>5</xdr:col>
      <xdr:colOff>612448</xdr:colOff>
      <xdr:row>12</xdr:row>
      <xdr:rowOff>113944</xdr:rowOff>
    </xdr:to>
    <xdr:sp macro="" textlink="">
      <xdr:nvSpPr>
        <xdr:cNvPr id="184" name="TextBox 183">
          <a:extLst>
            <a:ext uri="{FF2B5EF4-FFF2-40B4-BE49-F238E27FC236}">
              <a16:creationId xmlns:a16="http://schemas.microsoft.com/office/drawing/2014/main" id="{A04B304E-8655-4930-B4A0-28065FF4EB65}"/>
            </a:ext>
          </a:extLst>
        </xdr:cNvPr>
        <xdr:cNvSpPr txBox="1"/>
      </xdr:nvSpPr>
      <xdr:spPr>
        <a:xfrm>
          <a:off x="2449794" y="2064094"/>
          <a:ext cx="1224897" cy="2788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200" b="0" baseline="0">
              <a:solidFill>
                <a:schemeClr val="bg1"/>
              </a:solidFill>
              <a:latin typeface="+mn-lt"/>
              <a:ea typeface="+mn-ea"/>
              <a:cs typeface="+mn-cs"/>
            </a:rPr>
            <a:t>Total Empoyees</a:t>
          </a:r>
        </a:p>
      </xdr:txBody>
    </xdr:sp>
    <xdr:clientData/>
  </xdr:twoCellAnchor>
  <xdr:twoCellAnchor>
    <xdr:from>
      <xdr:col>3</xdr:col>
      <xdr:colOff>418174</xdr:colOff>
      <xdr:row>13</xdr:row>
      <xdr:rowOff>100413</xdr:rowOff>
    </xdr:from>
    <xdr:to>
      <xdr:col>5</xdr:col>
      <xdr:colOff>0</xdr:colOff>
      <xdr:row>15</xdr:row>
      <xdr:rowOff>0</xdr:rowOff>
    </xdr:to>
    <xdr:sp macro="" textlink="">
      <xdr:nvSpPr>
        <xdr:cNvPr id="185" name="TextBox 184">
          <a:extLst>
            <a:ext uri="{FF2B5EF4-FFF2-40B4-BE49-F238E27FC236}">
              <a16:creationId xmlns:a16="http://schemas.microsoft.com/office/drawing/2014/main" id="{5319CCF5-7289-4516-9900-54733711E5EE}"/>
            </a:ext>
          </a:extLst>
        </xdr:cNvPr>
        <xdr:cNvSpPr txBox="1"/>
      </xdr:nvSpPr>
      <xdr:spPr>
        <a:xfrm>
          <a:off x="2255520" y="2514600"/>
          <a:ext cx="806723" cy="2699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200" b="1">
              <a:solidFill>
                <a:srgbClr val="FFC000"/>
              </a:solidFill>
              <a:latin typeface="+mn-lt"/>
              <a:ea typeface="+mn-ea"/>
              <a:cs typeface="+mn-cs"/>
            </a:rPr>
            <a:t>Males</a:t>
          </a:r>
        </a:p>
      </xdr:txBody>
    </xdr:sp>
    <xdr:clientData/>
  </xdr:twoCellAnchor>
  <xdr:twoCellAnchor>
    <xdr:from>
      <xdr:col>5</xdr:col>
      <xdr:colOff>473438</xdr:colOff>
      <xdr:row>13</xdr:row>
      <xdr:rowOff>100413</xdr:rowOff>
    </xdr:from>
    <xdr:to>
      <xdr:col>7</xdr:col>
      <xdr:colOff>1</xdr:colOff>
      <xdr:row>15</xdr:row>
      <xdr:rowOff>100413</xdr:rowOff>
    </xdr:to>
    <xdr:sp macro="" textlink="">
      <xdr:nvSpPr>
        <xdr:cNvPr id="186" name="TextBox 185">
          <a:extLst>
            <a:ext uri="{FF2B5EF4-FFF2-40B4-BE49-F238E27FC236}">
              <a16:creationId xmlns:a16="http://schemas.microsoft.com/office/drawing/2014/main" id="{3D60F536-9B4B-4535-AAC7-C0ECF3466BCA}"/>
            </a:ext>
          </a:extLst>
        </xdr:cNvPr>
        <xdr:cNvSpPr txBox="1"/>
      </xdr:nvSpPr>
      <xdr:spPr>
        <a:xfrm>
          <a:off x="3535681" y="2514600"/>
          <a:ext cx="751460" cy="3703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200" b="1">
              <a:solidFill>
                <a:srgbClr val="FFC000"/>
              </a:solidFill>
              <a:latin typeface="+mn-lt"/>
              <a:ea typeface="+mn-ea"/>
              <a:cs typeface="+mn-cs"/>
            </a:rPr>
            <a:t>Female</a:t>
          </a:r>
        </a:p>
      </xdr:txBody>
    </xdr:sp>
    <xdr:clientData/>
  </xdr:twoCellAnchor>
  <xdr:twoCellAnchor>
    <xdr:from>
      <xdr:col>3</xdr:col>
      <xdr:colOff>413046</xdr:colOff>
      <xdr:row>14</xdr:row>
      <xdr:rowOff>1</xdr:rowOff>
    </xdr:from>
    <xdr:to>
      <xdr:col>6</xdr:col>
      <xdr:colOff>0</xdr:colOff>
      <xdr:row>19</xdr:row>
      <xdr:rowOff>92581</xdr:rowOff>
    </xdr:to>
    <xdr:graphicFrame macro="">
      <xdr:nvGraphicFramePr>
        <xdr:cNvPr id="187" name="Chart 186">
          <a:extLst>
            <a:ext uri="{FF2B5EF4-FFF2-40B4-BE49-F238E27FC236}">
              <a16:creationId xmlns:a16="http://schemas.microsoft.com/office/drawing/2014/main" id="{086EED05-2D30-4384-9707-F4BB3BC500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0</xdr:colOff>
      <xdr:row>12</xdr:row>
      <xdr:rowOff>185158</xdr:rowOff>
    </xdr:from>
    <xdr:to>
      <xdr:col>7</xdr:col>
      <xdr:colOff>575552</xdr:colOff>
      <xdr:row>20</xdr:row>
      <xdr:rowOff>35887</xdr:rowOff>
    </xdr:to>
    <xdr:graphicFrame macro="">
      <xdr:nvGraphicFramePr>
        <xdr:cNvPr id="188" name="Chart 187">
          <a:extLst>
            <a:ext uri="{FF2B5EF4-FFF2-40B4-BE49-F238E27FC236}">
              <a16:creationId xmlns:a16="http://schemas.microsoft.com/office/drawing/2014/main" id="{E5042683-71A6-4B54-BD7E-0C2496DCF5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306224</xdr:colOff>
      <xdr:row>16</xdr:row>
      <xdr:rowOff>49850</xdr:rowOff>
    </xdr:from>
    <xdr:to>
      <xdr:col>6</xdr:col>
      <xdr:colOff>0</xdr:colOff>
      <xdr:row>18</xdr:row>
      <xdr:rowOff>0</xdr:rowOff>
    </xdr:to>
    <xdr:sp macro="" textlink="">
      <xdr:nvSpPr>
        <xdr:cNvPr id="189" name="TextBox 188">
          <a:extLst>
            <a:ext uri="{FF2B5EF4-FFF2-40B4-BE49-F238E27FC236}">
              <a16:creationId xmlns:a16="http://schemas.microsoft.com/office/drawing/2014/main" id="{242B7B19-790C-4658-8DB0-6695C18DF12A}"/>
            </a:ext>
          </a:extLst>
        </xdr:cNvPr>
        <xdr:cNvSpPr txBox="1"/>
      </xdr:nvSpPr>
      <xdr:spPr>
        <a:xfrm>
          <a:off x="2756018" y="3019514"/>
          <a:ext cx="918674" cy="3204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400" b="1" baseline="0">
              <a:solidFill>
                <a:schemeClr val="bg1"/>
              </a:solidFill>
              <a:latin typeface="+mn-lt"/>
              <a:ea typeface="+mn-ea"/>
              <a:cs typeface="+mn-cs"/>
            </a:rPr>
            <a:t>52%</a:t>
          </a:r>
        </a:p>
      </xdr:txBody>
    </xdr:sp>
    <xdr:clientData/>
  </xdr:twoCellAnchor>
  <xdr:twoCellAnchor>
    <xdr:from>
      <xdr:col>6</xdr:col>
      <xdr:colOff>413046</xdr:colOff>
      <xdr:row>16</xdr:row>
      <xdr:rowOff>49850</xdr:rowOff>
    </xdr:from>
    <xdr:to>
      <xdr:col>8</xdr:col>
      <xdr:colOff>106823</xdr:colOff>
      <xdr:row>18</xdr:row>
      <xdr:rowOff>0</xdr:rowOff>
    </xdr:to>
    <xdr:sp macro="" textlink="">
      <xdr:nvSpPr>
        <xdr:cNvPr id="190" name="TextBox 189">
          <a:extLst>
            <a:ext uri="{FF2B5EF4-FFF2-40B4-BE49-F238E27FC236}">
              <a16:creationId xmlns:a16="http://schemas.microsoft.com/office/drawing/2014/main" id="{5BAD0BAA-AA19-4223-B3F2-13CE3F3B9050}"/>
            </a:ext>
          </a:extLst>
        </xdr:cNvPr>
        <xdr:cNvSpPr txBox="1"/>
      </xdr:nvSpPr>
      <xdr:spPr>
        <a:xfrm>
          <a:off x="4087738" y="3019514"/>
          <a:ext cx="918674" cy="3204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400" b="1" baseline="0">
              <a:solidFill>
                <a:srgbClr val="FFC000"/>
              </a:solidFill>
              <a:latin typeface="+mn-lt"/>
              <a:ea typeface="+mn-ea"/>
              <a:cs typeface="+mn-cs"/>
            </a:rPr>
            <a:t>48%</a:t>
          </a:r>
        </a:p>
      </xdr:txBody>
    </xdr:sp>
    <xdr:clientData/>
  </xdr:twoCellAnchor>
  <xdr:twoCellAnchor>
    <xdr:from>
      <xdr:col>8</xdr:col>
      <xdr:colOff>163794</xdr:colOff>
      <xdr:row>9</xdr:row>
      <xdr:rowOff>185158</xdr:rowOff>
    </xdr:from>
    <xdr:to>
      <xdr:col>12</xdr:col>
      <xdr:colOff>0</xdr:colOff>
      <xdr:row>19</xdr:row>
      <xdr:rowOff>185158</xdr:rowOff>
    </xdr:to>
    <xdr:graphicFrame macro="">
      <xdr:nvGraphicFramePr>
        <xdr:cNvPr id="191" name="Chart 190">
          <a:extLst>
            <a:ext uri="{FF2B5EF4-FFF2-40B4-BE49-F238E27FC236}">
              <a16:creationId xmlns:a16="http://schemas.microsoft.com/office/drawing/2014/main" id="{F76A9EA4-A249-402C-9D9D-5808B4E1EF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13</xdr:col>
      <xdr:colOff>0</xdr:colOff>
      <xdr:row>10</xdr:row>
      <xdr:rowOff>0</xdr:rowOff>
    </xdr:from>
    <xdr:to>
      <xdr:col>14</xdr:col>
      <xdr:colOff>0</xdr:colOff>
      <xdr:row>12</xdr:row>
      <xdr:rowOff>0</xdr:rowOff>
    </xdr:to>
    <xdr:sp macro="" textlink="">
      <xdr:nvSpPr>
        <xdr:cNvPr id="193" name="TextBox 192">
          <a:extLst>
            <a:ext uri="{FF2B5EF4-FFF2-40B4-BE49-F238E27FC236}">
              <a16:creationId xmlns:a16="http://schemas.microsoft.com/office/drawing/2014/main" id="{EB1E9360-F264-4863-A243-6876A3EE5312}"/>
            </a:ext>
          </a:extLst>
        </xdr:cNvPr>
        <xdr:cNvSpPr txBox="1"/>
      </xdr:nvSpPr>
      <xdr:spPr>
        <a:xfrm>
          <a:off x="7961832" y="1858710"/>
          <a:ext cx="612448" cy="3703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endParaRPr lang="en-IN" sz="1200">
            <a:solidFill>
              <a:schemeClr val="bg1"/>
            </a:solidFill>
            <a:latin typeface="+mn-lt"/>
            <a:ea typeface="+mn-ea"/>
            <a:cs typeface="+mn-cs"/>
          </a:endParaRPr>
        </a:p>
        <a:p>
          <a:pPr marL="0" indent="0"/>
          <a:endParaRPr lang="en-IN" sz="1200">
            <a:solidFill>
              <a:schemeClr val="bg1"/>
            </a:solidFill>
            <a:latin typeface="+mn-lt"/>
            <a:ea typeface="+mn-ea"/>
            <a:cs typeface="+mn-cs"/>
          </a:endParaRPr>
        </a:p>
      </xdr:txBody>
    </xdr:sp>
    <xdr:clientData/>
  </xdr:twoCellAnchor>
  <xdr:twoCellAnchor>
    <xdr:from>
      <xdr:col>12</xdr:col>
      <xdr:colOff>156317</xdr:colOff>
      <xdr:row>26</xdr:row>
      <xdr:rowOff>93648</xdr:rowOff>
    </xdr:from>
    <xdr:to>
      <xdr:col>13</xdr:col>
      <xdr:colOff>220268</xdr:colOff>
      <xdr:row>30</xdr:row>
      <xdr:rowOff>104115</xdr:rowOff>
    </xdr:to>
    <xdr:sp macro="" textlink="">
      <xdr:nvSpPr>
        <xdr:cNvPr id="197" name="TextBox 196">
          <a:extLst>
            <a:ext uri="{FF2B5EF4-FFF2-40B4-BE49-F238E27FC236}">
              <a16:creationId xmlns:a16="http://schemas.microsoft.com/office/drawing/2014/main" id="{62859695-52E2-4F56-8B61-5F660636387A}"/>
            </a:ext>
          </a:extLst>
        </xdr:cNvPr>
        <xdr:cNvSpPr txBox="1"/>
      </xdr:nvSpPr>
      <xdr:spPr>
        <a:xfrm>
          <a:off x="7505700" y="4914900"/>
          <a:ext cx="676400" cy="7511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endParaRPr lang="en-IN" sz="1200">
            <a:solidFill>
              <a:schemeClr val="bg1"/>
            </a:solidFill>
            <a:latin typeface="+mn-lt"/>
            <a:ea typeface="+mn-ea"/>
            <a:cs typeface="+mn-cs"/>
          </a:endParaRPr>
        </a:p>
      </xdr:txBody>
    </xdr:sp>
    <xdr:clientData/>
  </xdr:twoCellAnchor>
  <xdr:twoCellAnchor>
    <xdr:from>
      <xdr:col>8</xdr:col>
      <xdr:colOff>342901</xdr:colOff>
      <xdr:row>6</xdr:row>
      <xdr:rowOff>106822</xdr:rowOff>
    </xdr:from>
    <xdr:to>
      <xdr:col>10</xdr:col>
      <xdr:colOff>327589</xdr:colOff>
      <xdr:row>8</xdr:row>
      <xdr:rowOff>106822</xdr:rowOff>
    </xdr:to>
    <xdr:sp macro="" textlink="">
      <xdr:nvSpPr>
        <xdr:cNvPr id="201" name="TextBox 200">
          <a:extLst>
            <a:ext uri="{FF2B5EF4-FFF2-40B4-BE49-F238E27FC236}">
              <a16:creationId xmlns:a16="http://schemas.microsoft.com/office/drawing/2014/main" id="{DDE27584-0863-4EF5-A787-DBE3BF2EF1FE}"/>
            </a:ext>
          </a:extLst>
        </xdr:cNvPr>
        <xdr:cNvSpPr txBox="1"/>
      </xdr:nvSpPr>
      <xdr:spPr>
        <a:xfrm>
          <a:off x="5242490" y="1217775"/>
          <a:ext cx="1209585" cy="3703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200" b="1">
              <a:solidFill>
                <a:srgbClr val="FFC000"/>
              </a:solidFill>
              <a:latin typeface="+mn-lt"/>
              <a:ea typeface="+mn-ea"/>
              <a:cs typeface="+mn-cs"/>
            </a:rPr>
            <a:t>Leaves</a:t>
          </a:r>
          <a:r>
            <a:rPr lang="en-IN" sz="1200" b="1" baseline="0">
              <a:solidFill>
                <a:srgbClr val="FFC000"/>
              </a:solidFill>
              <a:latin typeface="+mn-lt"/>
              <a:ea typeface="+mn-ea"/>
              <a:cs typeface="+mn-cs"/>
            </a:rPr>
            <a:t> Tracked</a:t>
          </a:r>
          <a:endParaRPr lang="en-IN" sz="1200" b="1">
            <a:solidFill>
              <a:srgbClr val="FFC000"/>
            </a:solidFill>
            <a:latin typeface="+mn-lt"/>
            <a:ea typeface="+mn-ea"/>
            <a:cs typeface="+mn-cs"/>
          </a:endParaRPr>
        </a:p>
      </xdr:txBody>
    </xdr:sp>
    <xdr:clientData/>
  </xdr:twoCellAnchor>
  <xdr:twoCellAnchor>
    <xdr:from>
      <xdr:col>8</xdr:col>
      <xdr:colOff>0</xdr:colOff>
      <xdr:row>7</xdr:row>
      <xdr:rowOff>163794</xdr:rowOff>
    </xdr:from>
    <xdr:to>
      <xdr:col>12</xdr:col>
      <xdr:colOff>0</xdr:colOff>
      <xdr:row>9</xdr:row>
      <xdr:rowOff>156673</xdr:rowOff>
    </xdr:to>
    <xdr:sp macro="" textlink="">
      <xdr:nvSpPr>
        <xdr:cNvPr id="202" name="TextBox 201">
          <a:extLst>
            <a:ext uri="{FF2B5EF4-FFF2-40B4-BE49-F238E27FC236}">
              <a16:creationId xmlns:a16="http://schemas.microsoft.com/office/drawing/2014/main" id="{4F303B61-0897-49D5-9098-29A12C0F870A}"/>
            </a:ext>
          </a:extLst>
        </xdr:cNvPr>
        <xdr:cNvSpPr txBox="1"/>
      </xdr:nvSpPr>
      <xdr:spPr>
        <a:xfrm>
          <a:off x="4899589" y="1459906"/>
          <a:ext cx="2449794" cy="3703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100" b="0" baseline="0">
              <a:solidFill>
                <a:schemeClr val="bg2">
                  <a:lumMod val="50000"/>
                </a:schemeClr>
              </a:solidFill>
              <a:latin typeface="+mn-lt"/>
              <a:ea typeface="+mn-ea"/>
              <a:cs typeface="+mn-cs"/>
            </a:rPr>
            <a:t>Leave taken by job tittles</a:t>
          </a:r>
          <a:endParaRPr lang="en-IN" sz="1100" b="0">
            <a:solidFill>
              <a:schemeClr val="bg2">
                <a:lumMod val="50000"/>
              </a:schemeClr>
            </a:solidFill>
            <a:latin typeface="+mn-lt"/>
            <a:ea typeface="+mn-ea"/>
            <a:cs typeface="+mn-cs"/>
          </a:endParaRPr>
        </a:p>
      </xdr:txBody>
    </xdr:sp>
    <xdr:clientData/>
  </xdr:twoCellAnchor>
  <xdr:twoCellAnchor>
    <xdr:from>
      <xdr:col>12</xdr:col>
      <xdr:colOff>270618</xdr:colOff>
      <xdr:row>12</xdr:row>
      <xdr:rowOff>185158</xdr:rowOff>
    </xdr:from>
    <xdr:to>
      <xdr:col>17</xdr:col>
      <xdr:colOff>0</xdr:colOff>
      <xdr:row>18</xdr:row>
      <xdr:rowOff>185158</xdr:rowOff>
    </xdr:to>
    <xdr:graphicFrame macro="">
      <xdr:nvGraphicFramePr>
        <xdr:cNvPr id="204" name="Chart 203">
          <a:extLst>
            <a:ext uri="{FF2B5EF4-FFF2-40B4-BE49-F238E27FC236}">
              <a16:creationId xmlns:a16="http://schemas.microsoft.com/office/drawing/2014/main" id="{2086E5AC-7C35-4B08-A0A2-A722053A66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12</xdr:col>
      <xdr:colOff>413047</xdr:colOff>
      <xdr:row>10</xdr:row>
      <xdr:rowOff>0</xdr:rowOff>
    </xdr:from>
    <xdr:to>
      <xdr:col>15</xdr:col>
      <xdr:colOff>291981</xdr:colOff>
      <xdr:row>12</xdr:row>
      <xdr:rowOff>0</xdr:rowOff>
    </xdr:to>
    <xdr:sp macro="" textlink="">
      <xdr:nvSpPr>
        <xdr:cNvPr id="206" name="TextBox 205">
          <a:extLst>
            <a:ext uri="{FF2B5EF4-FFF2-40B4-BE49-F238E27FC236}">
              <a16:creationId xmlns:a16="http://schemas.microsoft.com/office/drawing/2014/main" id="{1488C73C-EA44-41DC-A798-0D066C561B43}"/>
            </a:ext>
          </a:extLst>
        </xdr:cNvPr>
        <xdr:cNvSpPr txBox="1"/>
      </xdr:nvSpPr>
      <xdr:spPr>
        <a:xfrm>
          <a:off x="7762430" y="1858710"/>
          <a:ext cx="1716280" cy="3703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200" b="1">
              <a:solidFill>
                <a:srgbClr val="FFC000"/>
              </a:solidFill>
              <a:latin typeface="+mn-lt"/>
              <a:ea typeface="+mn-ea"/>
              <a:cs typeface="+mn-cs"/>
            </a:rPr>
            <a:t>Region</a:t>
          </a:r>
        </a:p>
      </xdr:txBody>
    </xdr:sp>
    <xdr:clientData/>
  </xdr:twoCellAnchor>
  <xdr:twoCellAnchor>
    <xdr:from>
      <xdr:col>12</xdr:col>
      <xdr:colOff>92580</xdr:colOff>
      <xdr:row>11</xdr:row>
      <xdr:rowOff>0</xdr:rowOff>
    </xdr:from>
    <xdr:to>
      <xdr:col>16</xdr:col>
      <xdr:colOff>327589</xdr:colOff>
      <xdr:row>13</xdr:row>
      <xdr:rowOff>0</xdr:rowOff>
    </xdr:to>
    <xdr:sp macro="" textlink="">
      <xdr:nvSpPr>
        <xdr:cNvPr id="207" name="TextBox 206">
          <a:extLst>
            <a:ext uri="{FF2B5EF4-FFF2-40B4-BE49-F238E27FC236}">
              <a16:creationId xmlns:a16="http://schemas.microsoft.com/office/drawing/2014/main" id="{1CEEEDE8-EA80-4A05-A8E9-FB0FA484E099}"/>
            </a:ext>
          </a:extLst>
        </xdr:cNvPr>
        <xdr:cNvSpPr txBox="1"/>
      </xdr:nvSpPr>
      <xdr:spPr>
        <a:xfrm>
          <a:off x="7441963" y="2043869"/>
          <a:ext cx="2684804" cy="3703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100" b="0">
              <a:solidFill>
                <a:schemeClr val="bg2">
                  <a:lumMod val="50000"/>
                </a:schemeClr>
              </a:solidFill>
              <a:latin typeface="+mn-lt"/>
              <a:ea typeface="+mn-ea"/>
              <a:cs typeface="+mn-cs"/>
            </a:rPr>
            <a:t>Employees</a:t>
          </a:r>
          <a:r>
            <a:rPr lang="en-IN" sz="1100" b="0" baseline="0">
              <a:solidFill>
                <a:schemeClr val="bg2">
                  <a:lumMod val="50000"/>
                </a:schemeClr>
              </a:solidFill>
              <a:latin typeface="+mn-lt"/>
              <a:ea typeface="+mn-ea"/>
              <a:cs typeface="+mn-cs"/>
            </a:rPr>
            <a:t> per Region</a:t>
          </a:r>
          <a:endParaRPr lang="en-IN" sz="1100" b="0">
            <a:solidFill>
              <a:schemeClr val="bg2">
                <a:lumMod val="50000"/>
              </a:schemeClr>
            </a:solidFill>
            <a:latin typeface="+mn-lt"/>
            <a:ea typeface="+mn-ea"/>
            <a:cs typeface="+mn-cs"/>
          </a:endParaRPr>
        </a:p>
      </xdr:txBody>
    </xdr:sp>
    <xdr:clientData/>
  </xdr:twoCellAnchor>
  <xdr:twoCellAnchor>
    <xdr:from>
      <xdr:col>12</xdr:col>
      <xdr:colOff>299103</xdr:colOff>
      <xdr:row>5</xdr:row>
      <xdr:rowOff>21364</xdr:rowOff>
    </xdr:from>
    <xdr:to>
      <xdr:col>13</xdr:col>
      <xdr:colOff>555476</xdr:colOff>
      <xdr:row>8</xdr:row>
      <xdr:rowOff>163794</xdr:rowOff>
    </xdr:to>
    <xdr:sp macro="" textlink="'pivot table'!AD16">
      <xdr:nvSpPr>
        <xdr:cNvPr id="208" name="TextBox 207">
          <a:extLst>
            <a:ext uri="{FF2B5EF4-FFF2-40B4-BE49-F238E27FC236}">
              <a16:creationId xmlns:a16="http://schemas.microsoft.com/office/drawing/2014/main" id="{E7160190-A3CB-4C4C-A3CA-91BC18378A49}"/>
            </a:ext>
          </a:extLst>
        </xdr:cNvPr>
        <xdr:cNvSpPr txBox="1"/>
      </xdr:nvSpPr>
      <xdr:spPr>
        <a:xfrm>
          <a:off x="7648486" y="947158"/>
          <a:ext cx="868822" cy="6979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15E531AC-0E1E-4A90-8D96-FBA30278836A}" type="TxLink">
            <a:rPr lang="en-US" sz="3200" b="1" baseline="0">
              <a:solidFill>
                <a:schemeClr val="bg1"/>
              </a:solidFill>
              <a:latin typeface="+mn-lt"/>
              <a:ea typeface="+mn-ea"/>
              <a:cs typeface="+mn-cs"/>
            </a:rPr>
            <a:pPr marL="0" indent="0"/>
            <a:t>2.6</a:t>
          </a:fld>
          <a:endParaRPr lang="en-IN" sz="3200" b="1" baseline="0">
            <a:solidFill>
              <a:schemeClr val="bg1"/>
            </a:solidFill>
            <a:latin typeface="+mn-lt"/>
            <a:ea typeface="+mn-ea"/>
            <a:cs typeface="+mn-cs"/>
          </a:endParaRPr>
        </a:p>
      </xdr:txBody>
    </xdr:sp>
    <xdr:clientData/>
  </xdr:twoCellAnchor>
  <xdr:twoCellAnchor>
    <xdr:from>
      <xdr:col>12</xdr:col>
      <xdr:colOff>192280</xdr:colOff>
      <xdr:row>7</xdr:row>
      <xdr:rowOff>98561</xdr:rowOff>
    </xdr:from>
    <xdr:to>
      <xdr:col>14</xdr:col>
      <xdr:colOff>505626</xdr:colOff>
      <xdr:row>9</xdr:row>
      <xdr:rowOff>0</xdr:rowOff>
    </xdr:to>
    <xdr:sp macro="" textlink="">
      <xdr:nvSpPr>
        <xdr:cNvPr id="209" name="TextBox 208">
          <a:extLst>
            <a:ext uri="{FF2B5EF4-FFF2-40B4-BE49-F238E27FC236}">
              <a16:creationId xmlns:a16="http://schemas.microsoft.com/office/drawing/2014/main" id="{47D28A4E-6828-4D4D-B072-39321AD31EED}"/>
            </a:ext>
          </a:extLst>
        </xdr:cNvPr>
        <xdr:cNvSpPr txBox="1"/>
      </xdr:nvSpPr>
      <xdr:spPr>
        <a:xfrm>
          <a:off x="7541663" y="1394673"/>
          <a:ext cx="1538243" cy="2788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200" b="0" baseline="0">
              <a:solidFill>
                <a:schemeClr val="bg1"/>
              </a:solidFill>
              <a:latin typeface="+mn-lt"/>
              <a:ea typeface="+mn-ea"/>
              <a:cs typeface="+mn-cs"/>
            </a:rPr>
            <a:t>Average Rating</a:t>
          </a:r>
        </a:p>
      </xdr:txBody>
    </xdr:sp>
    <xdr:clientData/>
  </xdr:twoCellAnchor>
  <xdr:twoCellAnchor editAs="oneCell">
    <xdr:from>
      <xdr:col>15</xdr:col>
      <xdr:colOff>0</xdr:colOff>
      <xdr:row>4</xdr:row>
      <xdr:rowOff>1</xdr:rowOff>
    </xdr:from>
    <xdr:to>
      <xdr:col>16</xdr:col>
      <xdr:colOff>420168</xdr:colOff>
      <xdr:row>9</xdr:row>
      <xdr:rowOff>156674</xdr:rowOff>
    </xdr:to>
    <xdr:pic>
      <xdr:nvPicPr>
        <xdr:cNvPr id="210" name="Picture 209">
          <a:extLst>
            <a:ext uri="{FF2B5EF4-FFF2-40B4-BE49-F238E27FC236}">
              <a16:creationId xmlns:a16="http://schemas.microsoft.com/office/drawing/2014/main" id="{649635B4-9A04-967A-CA85-DEB99D4E8FE5}"/>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9186729" y="740637"/>
          <a:ext cx="1032617" cy="10895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384562</xdr:colOff>
      <xdr:row>3</xdr:row>
      <xdr:rowOff>0</xdr:rowOff>
    </xdr:from>
    <xdr:to>
      <xdr:col>15</xdr:col>
      <xdr:colOff>263496</xdr:colOff>
      <xdr:row>5</xdr:row>
      <xdr:rowOff>1</xdr:rowOff>
    </xdr:to>
    <xdr:sp macro="" textlink="">
      <xdr:nvSpPr>
        <xdr:cNvPr id="211" name="TextBox 210">
          <a:extLst>
            <a:ext uri="{FF2B5EF4-FFF2-40B4-BE49-F238E27FC236}">
              <a16:creationId xmlns:a16="http://schemas.microsoft.com/office/drawing/2014/main" id="{AFE0504A-BD1D-4D36-9858-7592EC34F27F}"/>
            </a:ext>
          </a:extLst>
        </xdr:cNvPr>
        <xdr:cNvSpPr txBox="1"/>
      </xdr:nvSpPr>
      <xdr:spPr>
        <a:xfrm>
          <a:off x="7733945" y="555477"/>
          <a:ext cx="1716280" cy="3703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200" b="1">
              <a:solidFill>
                <a:srgbClr val="FFC000"/>
              </a:solidFill>
              <a:latin typeface="+mn-lt"/>
              <a:ea typeface="+mn-ea"/>
              <a:cs typeface="+mn-cs"/>
            </a:rPr>
            <a:t>Performance</a:t>
          </a:r>
          <a:r>
            <a:rPr lang="en-IN" sz="1200" b="1" baseline="0">
              <a:solidFill>
                <a:srgbClr val="FFC000"/>
              </a:solidFill>
              <a:latin typeface="+mn-lt"/>
              <a:ea typeface="+mn-ea"/>
              <a:cs typeface="+mn-cs"/>
            </a:rPr>
            <a:t> Rating</a:t>
          </a:r>
          <a:endParaRPr lang="en-IN" sz="1200" b="1">
            <a:solidFill>
              <a:srgbClr val="FFC000"/>
            </a:solidFill>
            <a:latin typeface="+mn-lt"/>
            <a:ea typeface="+mn-ea"/>
            <a:cs typeface="+mn-cs"/>
          </a:endParaRPr>
        </a:p>
      </xdr:txBody>
    </xdr:sp>
    <xdr:clientData/>
  </xdr:twoCellAnchor>
  <xdr:twoCellAnchor>
    <xdr:from>
      <xdr:col>12</xdr:col>
      <xdr:colOff>299103</xdr:colOff>
      <xdr:row>4</xdr:row>
      <xdr:rowOff>21365</xdr:rowOff>
    </xdr:from>
    <xdr:to>
      <xdr:col>16</xdr:col>
      <xdr:colOff>299103</xdr:colOff>
      <xdr:row>6</xdr:row>
      <xdr:rowOff>21366</xdr:rowOff>
    </xdr:to>
    <xdr:sp macro="" textlink="">
      <xdr:nvSpPr>
        <xdr:cNvPr id="213" name="TextBox 212">
          <a:extLst>
            <a:ext uri="{FF2B5EF4-FFF2-40B4-BE49-F238E27FC236}">
              <a16:creationId xmlns:a16="http://schemas.microsoft.com/office/drawing/2014/main" id="{90FAB207-7C0F-4A59-949A-385B8A9D4262}"/>
            </a:ext>
          </a:extLst>
        </xdr:cNvPr>
        <xdr:cNvSpPr txBox="1"/>
      </xdr:nvSpPr>
      <xdr:spPr>
        <a:xfrm>
          <a:off x="7648486" y="762001"/>
          <a:ext cx="2449795" cy="3703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100" b="0" baseline="0">
              <a:solidFill>
                <a:schemeClr val="bg2">
                  <a:lumMod val="50000"/>
                </a:schemeClr>
              </a:solidFill>
              <a:latin typeface="+mn-lt"/>
              <a:ea typeface="+mn-ea"/>
              <a:cs typeface="+mn-cs"/>
            </a:rPr>
            <a:t>Average Performance Rating</a:t>
          </a:r>
          <a:endParaRPr lang="en-IN" sz="1100" b="0">
            <a:solidFill>
              <a:schemeClr val="bg2">
                <a:lumMod val="50000"/>
              </a:schemeClr>
            </a:solidFill>
            <a:latin typeface="+mn-lt"/>
            <a:ea typeface="+mn-ea"/>
            <a:cs typeface="+mn-cs"/>
          </a:endParaRPr>
        </a:p>
      </xdr:txBody>
    </xdr:sp>
    <xdr:clientData/>
  </xdr:twoCellAnchor>
  <xdr:twoCellAnchor>
    <xdr:from>
      <xdr:col>12</xdr:col>
      <xdr:colOff>288290</xdr:colOff>
      <xdr:row>3</xdr:row>
      <xdr:rowOff>73728</xdr:rowOff>
    </xdr:from>
    <xdr:to>
      <xdr:col>12</xdr:col>
      <xdr:colOff>396290</xdr:colOff>
      <xdr:row>3</xdr:row>
      <xdr:rowOff>181728</xdr:rowOff>
    </xdr:to>
    <xdr:sp macro="" textlink="">
      <xdr:nvSpPr>
        <xdr:cNvPr id="215" name="Oval 214">
          <a:extLst>
            <a:ext uri="{FF2B5EF4-FFF2-40B4-BE49-F238E27FC236}">
              <a16:creationId xmlns:a16="http://schemas.microsoft.com/office/drawing/2014/main" id="{BBDB0980-E528-4245-9973-83B08A61A2E5}"/>
            </a:ext>
          </a:extLst>
        </xdr:cNvPr>
        <xdr:cNvSpPr/>
      </xdr:nvSpPr>
      <xdr:spPr>
        <a:xfrm rot="10573973" flipV="1">
          <a:off x="7637673" y="629205"/>
          <a:ext cx="108000" cy="108000"/>
        </a:xfrm>
        <a:prstGeom prst="ellipse">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273131</xdr:colOff>
      <xdr:row>10</xdr:row>
      <xdr:rowOff>87971</xdr:rowOff>
    </xdr:from>
    <xdr:to>
      <xdr:col>12</xdr:col>
      <xdr:colOff>381131</xdr:colOff>
      <xdr:row>11</xdr:row>
      <xdr:rowOff>10812</xdr:rowOff>
    </xdr:to>
    <xdr:sp macro="" textlink="">
      <xdr:nvSpPr>
        <xdr:cNvPr id="216" name="Oval 215">
          <a:extLst>
            <a:ext uri="{FF2B5EF4-FFF2-40B4-BE49-F238E27FC236}">
              <a16:creationId xmlns:a16="http://schemas.microsoft.com/office/drawing/2014/main" id="{BDBFACE9-E696-45EF-B1D9-C615B1678056}"/>
            </a:ext>
          </a:extLst>
        </xdr:cNvPr>
        <xdr:cNvSpPr/>
      </xdr:nvSpPr>
      <xdr:spPr>
        <a:xfrm rot="10573973" flipV="1">
          <a:off x="7622514" y="1946681"/>
          <a:ext cx="108000" cy="108000"/>
        </a:xfrm>
        <a:prstGeom prst="ellipse">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131618</xdr:colOff>
      <xdr:row>20</xdr:row>
      <xdr:rowOff>73729</xdr:rowOff>
    </xdr:from>
    <xdr:to>
      <xdr:col>8</xdr:col>
      <xdr:colOff>239618</xdr:colOff>
      <xdr:row>20</xdr:row>
      <xdr:rowOff>181729</xdr:rowOff>
    </xdr:to>
    <xdr:sp macro="" textlink="">
      <xdr:nvSpPr>
        <xdr:cNvPr id="218" name="Oval 217">
          <a:extLst>
            <a:ext uri="{FF2B5EF4-FFF2-40B4-BE49-F238E27FC236}">
              <a16:creationId xmlns:a16="http://schemas.microsoft.com/office/drawing/2014/main" id="{848C89E3-D299-4B64-B7A7-CB6967C9D0AD}"/>
            </a:ext>
          </a:extLst>
        </xdr:cNvPr>
        <xdr:cNvSpPr/>
      </xdr:nvSpPr>
      <xdr:spPr>
        <a:xfrm rot="10573973" flipV="1">
          <a:off x="5031207" y="3784028"/>
          <a:ext cx="108000" cy="108000"/>
        </a:xfrm>
        <a:prstGeom prst="ellipse">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160103</xdr:colOff>
      <xdr:row>7</xdr:row>
      <xdr:rowOff>3432</xdr:rowOff>
    </xdr:from>
    <xdr:to>
      <xdr:col>8</xdr:col>
      <xdr:colOff>268103</xdr:colOff>
      <xdr:row>7</xdr:row>
      <xdr:rowOff>111432</xdr:rowOff>
    </xdr:to>
    <xdr:sp macro="" textlink="">
      <xdr:nvSpPr>
        <xdr:cNvPr id="219" name="Oval 218">
          <a:extLst>
            <a:ext uri="{FF2B5EF4-FFF2-40B4-BE49-F238E27FC236}">
              <a16:creationId xmlns:a16="http://schemas.microsoft.com/office/drawing/2014/main" id="{AB7F029D-1355-467F-9F31-9C58885A47FA}"/>
            </a:ext>
          </a:extLst>
        </xdr:cNvPr>
        <xdr:cNvSpPr/>
      </xdr:nvSpPr>
      <xdr:spPr>
        <a:xfrm rot="10573973" flipV="1">
          <a:off x="5059692" y="1299544"/>
          <a:ext cx="108000" cy="108000"/>
        </a:xfrm>
        <a:prstGeom prst="ellipse">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501017</xdr:colOff>
      <xdr:row>7</xdr:row>
      <xdr:rowOff>73728</xdr:rowOff>
    </xdr:from>
    <xdr:to>
      <xdr:col>3</xdr:col>
      <xdr:colOff>609017</xdr:colOff>
      <xdr:row>7</xdr:row>
      <xdr:rowOff>181728</xdr:rowOff>
    </xdr:to>
    <xdr:sp macro="" textlink="">
      <xdr:nvSpPr>
        <xdr:cNvPr id="220" name="Oval 219">
          <a:extLst>
            <a:ext uri="{FF2B5EF4-FFF2-40B4-BE49-F238E27FC236}">
              <a16:creationId xmlns:a16="http://schemas.microsoft.com/office/drawing/2014/main" id="{33754B35-1768-41CD-9E91-CD5144605D9E}"/>
            </a:ext>
          </a:extLst>
        </xdr:cNvPr>
        <xdr:cNvSpPr/>
      </xdr:nvSpPr>
      <xdr:spPr>
        <a:xfrm rot="10573973" flipV="1">
          <a:off x="2338363" y="1369840"/>
          <a:ext cx="108000" cy="108000"/>
        </a:xfrm>
        <a:prstGeom prst="ellipse">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501017</xdr:colOff>
      <xdr:row>20</xdr:row>
      <xdr:rowOff>73727</xdr:rowOff>
    </xdr:from>
    <xdr:to>
      <xdr:col>3</xdr:col>
      <xdr:colOff>609017</xdr:colOff>
      <xdr:row>20</xdr:row>
      <xdr:rowOff>181727</xdr:rowOff>
    </xdr:to>
    <xdr:sp macro="" textlink="">
      <xdr:nvSpPr>
        <xdr:cNvPr id="221" name="Oval 220">
          <a:extLst>
            <a:ext uri="{FF2B5EF4-FFF2-40B4-BE49-F238E27FC236}">
              <a16:creationId xmlns:a16="http://schemas.microsoft.com/office/drawing/2014/main" id="{ED628C62-1E96-4871-805F-11EEDC0B2838}"/>
            </a:ext>
          </a:extLst>
        </xdr:cNvPr>
        <xdr:cNvSpPr/>
      </xdr:nvSpPr>
      <xdr:spPr>
        <a:xfrm rot="10573973" flipV="1">
          <a:off x="2338363" y="3784026"/>
          <a:ext cx="108000" cy="108000"/>
        </a:xfrm>
        <a:prstGeom prst="ellipse">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130889</xdr:colOff>
      <xdr:row>23</xdr:row>
      <xdr:rowOff>75817</xdr:rowOff>
    </xdr:from>
    <xdr:to>
      <xdr:col>0</xdr:col>
      <xdr:colOff>274889</xdr:colOff>
      <xdr:row>24</xdr:row>
      <xdr:rowOff>9949</xdr:rowOff>
    </xdr:to>
    <xdr:sp macro="" textlink="">
      <xdr:nvSpPr>
        <xdr:cNvPr id="222" name="Oval 221">
          <a:extLst>
            <a:ext uri="{FF2B5EF4-FFF2-40B4-BE49-F238E27FC236}">
              <a16:creationId xmlns:a16="http://schemas.microsoft.com/office/drawing/2014/main" id="{33E8057A-F9B6-4574-96B4-8BFA501E35E4}"/>
            </a:ext>
          </a:extLst>
        </xdr:cNvPr>
        <xdr:cNvSpPr/>
      </xdr:nvSpPr>
      <xdr:spPr>
        <a:xfrm rot="10573973" flipV="1">
          <a:off x="130889" y="4341593"/>
          <a:ext cx="144000" cy="119291"/>
        </a:xfrm>
        <a:prstGeom prst="ellipse">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21365</xdr:colOff>
      <xdr:row>1</xdr:row>
      <xdr:rowOff>113944</xdr:rowOff>
    </xdr:from>
    <xdr:to>
      <xdr:col>2</xdr:col>
      <xdr:colOff>0</xdr:colOff>
      <xdr:row>5</xdr:row>
      <xdr:rowOff>113944</xdr:rowOff>
    </xdr:to>
    <xdr:pic>
      <xdr:nvPicPr>
        <xdr:cNvPr id="223" name="Picture 222">
          <a:extLst>
            <a:ext uri="{FF2B5EF4-FFF2-40B4-BE49-F238E27FC236}">
              <a16:creationId xmlns:a16="http://schemas.microsoft.com/office/drawing/2014/main" id="{798E6EA4-0D9D-33F8-CB9A-A8CD52086902}"/>
            </a:ext>
          </a:extLst>
        </xdr:cNvPr>
        <xdr:cNvPicPr>
          <a:picLocks noChangeAspect="1" noChangeArrowheads="1"/>
        </xdr:cNvPicPr>
      </xdr:nvPicPr>
      <xdr:blipFill>
        <a:blip xmlns:r="http://schemas.openxmlformats.org/officeDocument/2006/relationships" r:embed="rId13" cstate="print">
          <a:extLst>
            <a:ext uri="{28A0092B-C50C-407E-A947-70E740481C1C}">
              <a14:useLocalDpi xmlns:a14="http://schemas.microsoft.com/office/drawing/2010/main" val="0"/>
            </a:ext>
          </a:extLst>
        </a:blip>
        <a:srcRect/>
        <a:stretch>
          <a:fillRect/>
        </a:stretch>
      </xdr:blipFill>
      <xdr:spPr bwMode="auto">
        <a:xfrm>
          <a:off x="21365" y="299103"/>
          <a:ext cx="1203532" cy="7406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605326</xdr:colOff>
      <xdr:row>1</xdr:row>
      <xdr:rowOff>14244</xdr:rowOff>
    </xdr:from>
    <xdr:to>
      <xdr:col>4</xdr:col>
      <xdr:colOff>0</xdr:colOff>
      <xdr:row>4</xdr:row>
      <xdr:rowOff>14243</xdr:rowOff>
    </xdr:to>
    <xdr:sp macro="" textlink="">
      <xdr:nvSpPr>
        <xdr:cNvPr id="224" name="TextBox 223">
          <a:extLst>
            <a:ext uri="{FF2B5EF4-FFF2-40B4-BE49-F238E27FC236}">
              <a16:creationId xmlns:a16="http://schemas.microsoft.com/office/drawing/2014/main" id="{9A6E5566-7CAB-4B58-897B-20A69C7930B8}"/>
            </a:ext>
          </a:extLst>
        </xdr:cNvPr>
        <xdr:cNvSpPr txBox="1"/>
      </xdr:nvSpPr>
      <xdr:spPr>
        <a:xfrm>
          <a:off x="1217775" y="199403"/>
          <a:ext cx="1232019" cy="5554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3200" b="1" baseline="0">
              <a:solidFill>
                <a:srgbClr val="FFC000"/>
              </a:solidFill>
              <a:latin typeface="+mn-lt"/>
              <a:ea typeface="+mn-ea"/>
              <a:cs typeface="+mn-cs"/>
            </a:rPr>
            <a:t>HR</a:t>
          </a:r>
        </a:p>
        <a:p>
          <a:pPr marL="0" indent="0"/>
          <a:endParaRPr lang="en-IN" sz="3200" b="1">
            <a:solidFill>
              <a:srgbClr val="FFC000"/>
            </a:solidFill>
            <a:latin typeface="+mn-lt"/>
            <a:ea typeface="+mn-ea"/>
            <a:cs typeface="+mn-cs"/>
          </a:endParaRPr>
        </a:p>
      </xdr:txBody>
    </xdr:sp>
    <xdr:clientData/>
  </xdr:twoCellAnchor>
  <xdr:twoCellAnchor>
    <xdr:from>
      <xdr:col>2</xdr:col>
      <xdr:colOff>0</xdr:colOff>
      <xdr:row>3</xdr:row>
      <xdr:rowOff>7122</xdr:rowOff>
    </xdr:from>
    <xdr:to>
      <xdr:col>4</xdr:col>
      <xdr:colOff>0</xdr:colOff>
      <xdr:row>5</xdr:row>
      <xdr:rowOff>7122</xdr:rowOff>
    </xdr:to>
    <xdr:sp macro="" textlink="">
      <xdr:nvSpPr>
        <xdr:cNvPr id="225" name="TextBox 224">
          <a:extLst>
            <a:ext uri="{FF2B5EF4-FFF2-40B4-BE49-F238E27FC236}">
              <a16:creationId xmlns:a16="http://schemas.microsoft.com/office/drawing/2014/main" id="{EF274D2F-1D66-4D39-BC43-2851B00ADB08}"/>
            </a:ext>
          </a:extLst>
        </xdr:cNvPr>
        <xdr:cNvSpPr txBox="1"/>
      </xdr:nvSpPr>
      <xdr:spPr>
        <a:xfrm>
          <a:off x="1224897" y="562599"/>
          <a:ext cx="1224897" cy="3703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800" b="1" baseline="0">
              <a:solidFill>
                <a:srgbClr val="FFC000"/>
              </a:solidFill>
              <a:latin typeface="+mn-lt"/>
              <a:ea typeface="+mn-ea"/>
              <a:cs typeface="+mn-cs"/>
            </a:rPr>
            <a:t>Dashboard</a:t>
          </a:r>
        </a:p>
      </xdr:txBody>
    </xdr:sp>
    <xdr:clientData/>
  </xdr:twoCellAnchor>
  <xdr:twoCellAnchor>
    <xdr:from>
      <xdr:col>2</xdr:col>
      <xdr:colOff>0</xdr:colOff>
      <xdr:row>4</xdr:row>
      <xdr:rowOff>113943</xdr:rowOff>
    </xdr:from>
    <xdr:to>
      <xdr:col>5</xdr:col>
      <xdr:colOff>612448</xdr:colOff>
      <xdr:row>6</xdr:row>
      <xdr:rowOff>113944</xdr:rowOff>
    </xdr:to>
    <xdr:sp macro="" textlink="">
      <xdr:nvSpPr>
        <xdr:cNvPr id="226" name="TextBox 225">
          <a:extLst>
            <a:ext uri="{FF2B5EF4-FFF2-40B4-BE49-F238E27FC236}">
              <a16:creationId xmlns:a16="http://schemas.microsoft.com/office/drawing/2014/main" id="{390E852A-CE4F-4E03-9B1B-97C6763AA673}"/>
            </a:ext>
          </a:extLst>
        </xdr:cNvPr>
        <xdr:cNvSpPr txBox="1"/>
      </xdr:nvSpPr>
      <xdr:spPr>
        <a:xfrm>
          <a:off x="1224897" y="854579"/>
          <a:ext cx="2449794" cy="3703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100" b="0" baseline="0">
              <a:solidFill>
                <a:schemeClr val="bg2">
                  <a:lumMod val="50000"/>
                </a:schemeClr>
              </a:solidFill>
              <a:latin typeface="+mn-lt"/>
              <a:ea typeface="+mn-ea"/>
              <a:cs typeface="+mn-cs"/>
            </a:rPr>
            <a:t>Analzyze and moniter the HR departmnet</a:t>
          </a:r>
          <a:endParaRPr lang="en-IN" sz="1100" b="0">
            <a:solidFill>
              <a:schemeClr val="bg2">
                <a:lumMod val="50000"/>
              </a:schemeClr>
            </a:solidFill>
            <a:latin typeface="+mn-lt"/>
            <a:ea typeface="+mn-ea"/>
            <a:cs typeface="+mn-cs"/>
          </a:endParaRPr>
        </a:p>
      </xdr:txBody>
    </xdr:sp>
    <xdr:clientData/>
  </xdr:twoCellAnchor>
  <xdr:twoCellAnchor editAs="oneCell">
    <xdr:from>
      <xdr:col>4</xdr:col>
      <xdr:colOff>391683</xdr:colOff>
      <xdr:row>1</xdr:row>
      <xdr:rowOff>0</xdr:rowOff>
    </xdr:from>
    <xdr:to>
      <xdr:col>8</xdr:col>
      <xdr:colOff>0</xdr:colOff>
      <xdr:row>5</xdr:row>
      <xdr:rowOff>0</xdr:rowOff>
    </xdr:to>
    <mc:AlternateContent xmlns:mc="http://schemas.openxmlformats.org/markup-compatibility/2006">
      <mc:Choice xmlns:a14="http://schemas.microsoft.com/office/drawing/2010/main" Requires="a14">
        <xdr:graphicFrame macro="">
          <xdr:nvGraphicFramePr>
            <xdr:cNvPr id="227" name="Gender 1">
              <a:extLst>
                <a:ext uri="{FF2B5EF4-FFF2-40B4-BE49-F238E27FC236}">
                  <a16:creationId xmlns:a16="http://schemas.microsoft.com/office/drawing/2014/main" id="{F2B29C53-9B9D-4E48-B7F5-661AC5B97916}"/>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dr:sp macro="" textlink="">
          <xdr:nvSpPr>
            <xdr:cNvPr id="0" name=""/>
            <xdr:cNvSpPr>
              <a:spLocks noTextEdit="1"/>
            </xdr:cNvSpPr>
          </xdr:nvSpPr>
          <xdr:spPr>
            <a:xfrm>
              <a:off x="2823598" y="186447"/>
              <a:ext cx="2040232" cy="74578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0</xdr:colOff>
      <xdr:row>0</xdr:row>
      <xdr:rowOff>170916</xdr:rowOff>
    </xdr:from>
    <xdr:to>
      <xdr:col>12</xdr:col>
      <xdr:colOff>0</xdr:colOff>
      <xdr:row>5</xdr:row>
      <xdr:rowOff>170916</xdr:rowOff>
    </xdr:to>
    <mc:AlternateContent xmlns:mc="http://schemas.openxmlformats.org/markup-compatibility/2006">
      <mc:Choice xmlns:a14="http://schemas.microsoft.com/office/drawing/2010/main" Requires="a14">
        <xdr:graphicFrame macro="">
          <xdr:nvGraphicFramePr>
            <xdr:cNvPr id="228" name="Department 1">
              <a:extLst>
                <a:ext uri="{FF2B5EF4-FFF2-40B4-BE49-F238E27FC236}">
                  <a16:creationId xmlns:a16="http://schemas.microsoft.com/office/drawing/2014/main" id="{1E66E5C2-57F5-4AB1-BDF2-D01449566C1D}"/>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dr:sp macro="" textlink="">
          <xdr:nvSpPr>
            <xdr:cNvPr id="0" name=""/>
            <xdr:cNvSpPr>
              <a:spLocks noTextEdit="1"/>
            </xdr:cNvSpPr>
          </xdr:nvSpPr>
          <xdr:spPr>
            <a:xfrm>
              <a:off x="4863830" y="170916"/>
              <a:ext cx="2431915" cy="9322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0</xdr:colOff>
      <xdr:row>1</xdr:row>
      <xdr:rowOff>0</xdr:rowOff>
    </xdr:from>
    <xdr:to>
      <xdr:col>7</xdr:col>
      <xdr:colOff>0</xdr:colOff>
      <xdr:row>3</xdr:row>
      <xdr:rowOff>0</xdr:rowOff>
    </xdr:to>
    <xdr:sp macro="" textlink="">
      <xdr:nvSpPr>
        <xdr:cNvPr id="229" name="TextBox 228">
          <a:extLst>
            <a:ext uri="{FF2B5EF4-FFF2-40B4-BE49-F238E27FC236}">
              <a16:creationId xmlns:a16="http://schemas.microsoft.com/office/drawing/2014/main" id="{67A7C63D-BBAF-44B0-B739-7476695ECC3C}"/>
            </a:ext>
          </a:extLst>
        </xdr:cNvPr>
        <xdr:cNvSpPr txBox="1"/>
      </xdr:nvSpPr>
      <xdr:spPr>
        <a:xfrm>
          <a:off x="3062243" y="185159"/>
          <a:ext cx="1224897" cy="3703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200" b="1">
              <a:solidFill>
                <a:schemeClr val="bg1"/>
              </a:solidFill>
              <a:latin typeface="+mn-lt"/>
              <a:ea typeface="+mn-ea"/>
              <a:cs typeface="+mn-cs"/>
            </a:rPr>
            <a:t>Filter</a:t>
          </a:r>
          <a:r>
            <a:rPr lang="en-IN" sz="1200" b="1" baseline="0">
              <a:solidFill>
                <a:schemeClr val="bg1"/>
              </a:solidFill>
              <a:latin typeface="+mn-lt"/>
              <a:ea typeface="+mn-ea"/>
              <a:cs typeface="+mn-cs"/>
            </a:rPr>
            <a:t> by Gender</a:t>
          </a:r>
          <a:endParaRPr lang="en-IN" sz="1200" b="1">
            <a:solidFill>
              <a:schemeClr val="bg1"/>
            </a:solidFill>
            <a:latin typeface="+mn-lt"/>
            <a:ea typeface="+mn-ea"/>
            <a:cs typeface="+mn-cs"/>
          </a:endParaRPr>
        </a:p>
      </xdr:txBody>
    </xdr:sp>
    <xdr:clientData/>
  </xdr:twoCellAnchor>
  <xdr:twoCellAnchor>
    <xdr:from>
      <xdr:col>8</xdr:col>
      <xdr:colOff>121066</xdr:colOff>
      <xdr:row>1</xdr:row>
      <xdr:rowOff>0</xdr:rowOff>
    </xdr:from>
    <xdr:to>
      <xdr:col>11</xdr:col>
      <xdr:colOff>0</xdr:colOff>
      <xdr:row>3</xdr:row>
      <xdr:rowOff>0</xdr:rowOff>
    </xdr:to>
    <xdr:sp macro="" textlink="">
      <xdr:nvSpPr>
        <xdr:cNvPr id="230" name="TextBox 229">
          <a:extLst>
            <a:ext uri="{FF2B5EF4-FFF2-40B4-BE49-F238E27FC236}">
              <a16:creationId xmlns:a16="http://schemas.microsoft.com/office/drawing/2014/main" id="{9088B2EE-32F4-450D-BF1B-7625BBDD6DB5}"/>
            </a:ext>
          </a:extLst>
        </xdr:cNvPr>
        <xdr:cNvSpPr txBox="1"/>
      </xdr:nvSpPr>
      <xdr:spPr>
        <a:xfrm>
          <a:off x="5020655" y="185159"/>
          <a:ext cx="1716280" cy="3703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200" b="1">
              <a:solidFill>
                <a:schemeClr val="bg1"/>
              </a:solidFill>
              <a:latin typeface="+mn-lt"/>
              <a:ea typeface="+mn-ea"/>
              <a:cs typeface="+mn-cs"/>
            </a:rPr>
            <a:t>Filter</a:t>
          </a:r>
          <a:r>
            <a:rPr lang="en-IN" sz="1200" b="1" baseline="0">
              <a:solidFill>
                <a:schemeClr val="bg1"/>
              </a:solidFill>
              <a:latin typeface="+mn-lt"/>
              <a:ea typeface="+mn-ea"/>
              <a:cs typeface="+mn-cs"/>
            </a:rPr>
            <a:t> by Department</a:t>
          </a:r>
          <a:endParaRPr lang="en-IN" sz="1200" b="1">
            <a:solidFill>
              <a:schemeClr val="bg1"/>
            </a:solidFill>
            <a:latin typeface="+mn-lt"/>
            <a:ea typeface="+mn-ea"/>
            <a:cs typeface="+mn-cs"/>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cdr:x>
      <cdr:y>0.00205</cdr:y>
    </cdr:from>
    <cdr:to>
      <cdr:x>0.62891</cdr:x>
      <cdr:y>0.5</cdr:y>
    </cdr:to>
    <cdr:sp macro="" textlink="">
      <cdr:nvSpPr>
        <cdr:cNvPr id="2" name="TextBox 89">
          <a:extLst xmlns:a="http://schemas.openxmlformats.org/drawingml/2006/main">
            <a:ext uri="{FF2B5EF4-FFF2-40B4-BE49-F238E27FC236}">
              <a16:creationId xmlns:a16="http://schemas.microsoft.com/office/drawing/2014/main" id="{7ED9F966-033B-4CA1-8B7D-4CDABE3EA186}"/>
            </a:ext>
          </a:extLst>
        </cdr:cNvPr>
        <cdr:cNvSpPr txBox="1"/>
      </cdr:nvSpPr>
      <cdr:spPr>
        <a:xfrm xmlns:a="http://schemas.openxmlformats.org/drawingml/2006/main">
          <a:off x="0" y="1140"/>
          <a:ext cx="1059679" cy="276599"/>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marL="0" indent="0"/>
          <a:r>
            <a:rPr lang="en-IN" sz="1100" b="0" i="0" u="none" strike="noStrike">
              <a:solidFill>
                <a:schemeClr val="bg1"/>
              </a:solidFill>
              <a:effectLst/>
              <a:latin typeface="+mn-lt"/>
              <a:ea typeface="+mn-ea"/>
              <a:cs typeface="+mn-cs"/>
            </a:rPr>
            <a:t>Remote</a:t>
          </a:r>
          <a:r>
            <a:rPr lang="en-IN" sz="1200">
              <a:solidFill>
                <a:schemeClr val="bg1"/>
              </a:solidFill>
              <a:effectLst/>
            </a:rPr>
            <a:t> </a:t>
          </a:r>
          <a:endParaRPr lang="en-IN" sz="1200" baseline="0">
            <a:solidFill>
              <a:schemeClr val="bg1"/>
            </a:solidFill>
            <a:latin typeface="+mn-lt"/>
            <a:ea typeface="+mn-ea"/>
            <a:cs typeface="+mn-cs"/>
          </a:endParaRPr>
        </a:p>
      </cdr:txBody>
    </cdr:sp>
  </cdr:relSizeAnchor>
</c:userShape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pooja%20bhatt\Downloads\data%20table.xlsx" TargetMode="External"/><Relationship Id="rId1" Type="http://schemas.openxmlformats.org/officeDocument/2006/relationships/externalLinkPath" Target="data%20tabl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shboard"/>
      <sheetName val="pivot table"/>
      <sheetName val="Sheet3"/>
    </sheetNames>
    <sheetDataSet>
      <sheetData sheetId="0" refreshError="1"/>
      <sheetData sheetId="1"/>
      <sheetData sheetId="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ooja bhatt" refreshedDate="45987.704391435182" createdVersion="8" refreshedVersion="8" minRefreshableVersion="3" recordCount="50" xr:uid="{B6840ECC-BC3B-4424-BB8F-2F5F9D285974}">
  <cacheSource type="worksheet">
    <worksheetSource name="Table1"/>
  </cacheSource>
  <cacheFields count="21">
    <cacheField name="Employee ID" numFmtId="0">
      <sharedItems containsSemiMixedTypes="0" containsString="0" containsNumber="1" containsInteger="1" minValue="1550" maxValue="9968"/>
    </cacheField>
    <cacheField name="Full Name" numFmtId="0">
      <sharedItems count="49">
        <s v="Lori Nguyen"/>
        <s v="Gary Garcia"/>
        <s v="Jeremy Nguyen"/>
        <s v="Kimberly Jones"/>
        <s v="Anthony Gates"/>
        <s v="Courtney Foster"/>
        <s v="Catherine Hall"/>
        <s v="Deanna Ball"/>
        <s v="Candace Nelson"/>
        <s v="Mandy Davis"/>
        <s v="Matthew Powell"/>
        <s v="Bruce Nelson"/>
        <s v="Dawn Cole"/>
        <s v="Tanner Morse"/>
        <s v="Jose Griffin"/>
        <s v="Daniel Hawkins"/>
        <s v="Elaine Mcclain"/>
        <s v="Thomas Kramer"/>
        <s v="Kevin Whitaker"/>
        <s v="Dustin Carter"/>
        <s v="Nicole Williamson"/>
        <s v="Matthew Knight"/>
        <s v="Donna Jones"/>
        <s v="Carolyn Bullock"/>
        <s v="Wendy Gomez"/>
        <s v="Michael Thomas"/>
        <s v="Kevin Bell"/>
        <s v="Richard Landry"/>
        <s v="George Hurley"/>
        <s v="Mark Lopez"/>
        <s v="Robert Williams"/>
        <s v="Mary Schmidt"/>
        <s v="Mary Martinez"/>
        <s v="Paul Hall"/>
        <s v="Samantha Foster"/>
        <s v="Timothy Aguilar"/>
        <s v="Charles Andrews"/>
        <s v="Veronica Nelson"/>
        <s v="Chris Sanchez"/>
        <s v="Cassie Galvan"/>
        <s v="Jessica Jones"/>
        <s v="Emily Walker"/>
        <s v="Vickie Lewis"/>
        <s v="Alexis Clark"/>
        <s v="Robert Davis"/>
        <s v="Daniel Brown MD"/>
        <s v="Anna Payne"/>
        <s v="Rhonda Pena"/>
        <s v="Nicole Gonzalez"/>
      </sharedItems>
    </cacheField>
    <cacheField name="Gender" numFmtId="0">
      <sharedItems count="2">
        <s v="Female"/>
        <s v="Male"/>
      </sharedItems>
    </cacheField>
    <cacheField name="Age" numFmtId="0">
      <sharedItems containsSemiMixedTypes="0" containsString="0" containsNumber="1" containsInteger="1" minValue="20" maxValue="60" count="27">
        <n v="25"/>
        <n v="27"/>
        <n v="34"/>
        <n v="41"/>
        <n v="56"/>
        <n v="28"/>
        <n v="20"/>
        <n v="58"/>
        <n v="44"/>
        <n v="29"/>
        <n v="23"/>
        <n v="30"/>
        <n v="49"/>
        <n v="60"/>
        <n v="46"/>
        <n v="57"/>
        <n v="24"/>
        <n v="35"/>
        <n v="36"/>
        <n v="31"/>
        <n v="37"/>
        <n v="48"/>
        <n v="45"/>
        <n v="52"/>
        <n v="42"/>
        <n v="21"/>
        <n v="59"/>
      </sharedItems>
    </cacheField>
    <cacheField name="Age range" numFmtId="0">
      <sharedItems count="5">
        <s v="18-25"/>
        <s v="26-35"/>
        <s v="36-45"/>
        <s v="56 &lt;"/>
        <s v="46-55"/>
      </sharedItems>
    </cacheField>
    <cacheField name="Region" numFmtId="0">
      <sharedItems count="5">
        <s v="East"/>
        <s v="Central"/>
        <s v="West"/>
        <s v="South"/>
        <s v="North"/>
      </sharedItems>
    </cacheField>
    <cacheField name="Job Title" numFmtId="0">
      <sharedItems count="5">
        <s v="Manager"/>
        <s v="Designer"/>
        <s v="HR Specialist"/>
        <s v="Developer"/>
        <s v="Analyst"/>
      </sharedItems>
    </cacheField>
    <cacheField name="Department" numFmtId="0">
      <sharedItems count="5">
        <s v="Finance"/>
        <s v="HR"/>
        <s v="Marketing"/>
        <s v="Operations"/>
        <s v="IT"/>
      </sharedItems>
    </cacheField>
    <cacheField name="Manager/Supervisor" numFmtId="0">
      <sharedItems/>
    </cacheField>
    <cacheField name="Date of Hire" numFmtId="0">
      <sharedItems/>
    </cacheField>
    <cacheField name="Employment Status" numFmtId="0">
      <sharedItems count="3">
        <s v="Full-Time"/>
        <s v="Contract"/>
        <s v="Part-Time"/>
      </sharedItems>
    </cacheField>
    <cacheField name="Work Location" numFmtId="0">
      <sharedItems count="3">
        <s v="Head Office"/>
        <s v="Branch Office"/>
        <s v="Remote"/>
      </sharedItems>
    </cacheField>
    <cacheField name="Salary" numFmtId="0">
      <sharedItems containsSemiMixedTypes="0" containsString="0" containsNumber="1" containsInteger="1" minValue="30137" maxValue="98961"/>
    </cacheField>
    <cacheField name="Pay Grade" numFmtId="0">
      <sharedItems/>
    </cacheField>
    <cacheField name="Bonus/Allowances" numFmtId="0">
      <sharedItems containsSemiMixedTypes="0" containsString="0" containsNumber="1" containsInteger="1" minValue="1024" maxValue="9911"/>
    </cacheField>
    <cacheField name="Insurance Details" numFmtId="0">
      <sharedItems/>
    </cacheField>
    <cacheField name="Leave Taken" numFmtId="0">
      <sharedItems containsSemiMixedTypes="0" containsString="0" containsNumber="1" containsInteger="1" minValue="0" maxValue="20"/>
    </cacheField>
    <cacheField name="Performance Rating" numFmtId="0">
      <sharedItems containsSemiMixedTypes="0" containsString="0" containsNumber="1" containsInteger="1" minValue="1" maxValue="5"/>
    </cacheField>
    <cacheField name="Training Programs Attended" numFmtId="0">
      <sharedItems/>
    </cacheField>
    <cacheField name="Skills" numFmtId="0">
      <sharedItems count="5">
        <s v="Design"/>
        <s v="Management"/>
        <s v="Python"/>
        <s v="Communication"/>
        <s v="Excel"/>
      </sharedItems>
    </cacheField>
    <cacheField name="Certifications" numFmtId="0">
      <sharedItems/>
    </cacheField>
  </cacheFields>
  <extLst>
    <ext xmlns:x14="http://schemas.microsoft.com/office/spreadsheetml/2009/9/main" uri="{725AE2AE-9491-48be-B2B4-4EB974FC3084}">
      <x14:pivotCacheDefinition pivotCacheId="76612731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4294"/>
    <x v="0"/>
    <x v="0"/>
    <x v="0"/>
    <x v="0"/>
    <x v="0"/>
    <x v="0"/>
    <x v="0"/>
    <s v="Luis Reynolds"/>
    <s v="2019-03-15"/>
    <x v="0"/>
    <x v="0"/>
    <n v="53700"/>
    <s v="C"/>
    <n v="1463"/>
    <s v="Health"/>
    <n v="1"/>
    <n v="1"/>
    <s v="Leadership Training"/>
    <x v="0"/>
    <s v="Certified Professional"/>
  </r>
  <r>
    <n v="9116"/>
    <x v="1"/>
    <x v="1"/>
    <x v="1"/>
    <x v="1"/>
    <x v="1"/>
    <x v="1"/>
    <x v="1"/>
    <s v="Ashley Simmons MD"/>
    <s v="2022-12-20"/>
    <x v="0"/>
    <x v="1"/>
    <n v="91091"/>
    <s v="B"/>
    <n v="1024"/>
    <s v="None"/>
    <n v="19"/>
    <n v="4"/>
    <s v="Excel Workshop"/>
    <x v="0"/>
    <s v="Certified Professional"/>
  </r>
  <r>
    <n v="5120"/>
    <x v="2"/>
    <x v="1"/>
    <x v="2"/>
    <x v="1"/>
    <x v="2"/>
    <x v="2"/>
    <x v="2"/>
    <s v="Cassandra Duncan"/>
    <s v="2022-08-10"/>
    <x v="0"/>
    <x v="2"/>
    <n v="57538"/>
    <s v="D"/>
    <n v="1674"/>
    <s v="None"/>
    <n v="8"/>
    <n v="1"/>
    <s v="None"/>
    <x v="1"/>
    <s v="Advanced Training"/>
  </r>
  <r>
    <n v="8071"/>
    <x v="3"/>
    <x v="0"/>
    <x v="3"/>
    <x v="2"/>
    <x v="2"/>
    <x v="0"/>
    <x v="3"/>
    <s v="Janet Harris"/>
    <s v="2024-09-03"/>
    <x v="1"/>
    <x v="0"/>
    <n v="62993"/>
    <s v="A"/>
    <n v="2695"/>
    <s v="Health + Dental"/>
    <n v="0"/>
    <n v="2"/>
    <s v="None"/>
    <x v="2"/>
    <s v="None"/>
  </r>
  <r>
    <n v="9351"/>
    <x v="4"/>
    <x v="1"/>
    <x v="4"/>
    <x v="3"/>
    <x v="0"/>
    <x v="0"/>
    <x v="2"/>
    <s v="Mr. Frank Clay"/>
    <s v="2019-03-14"/>
    <x v="1"/>
    <x v="1"/>
    <n v="45773"/>
    <s v="A"/>
    <n v="8776"/>
    <s v="Health"/>
    <n v="16"/>
    <n v="4"/>
    <s v="Leadership Training"/>
    <x v="2"/>
    <s v="None"/>
  </r>
  <r>
    <n v="2873"/>
    <x v="5"/>
    <x v="0"/>
    <x v="5"/>
    <x v="1"/>
    <x v="2"/>
    <x v="3"/>
    <x v="2"/>
    <s v="Dorothy Price"/>
    <s v="2017-01-23"/>
    <x v="0"/>
    <x v="1"/>
    <n v="96249"/>
    <s v="C"/>
    <n v="4826"/>
    <s v="Health + Dental"/>
    <n v="7"/>
    <n v="3"/>
    <s v="Leadership Training"/>
    <x v="3"/>
    <s v="Certified Professional"/>
  </r>
  <r>
    <n v="3540"/>
    <x v="6"/>
    <x v="0"/>
    <x v="6"/>
    <x v="0"/>
    <x v="1"/>
    <x v="2"/>
    <x v="2"/>
    <s v="Michele Sexton"/>
    <s v="2024-08-17"/>
    <x v="0"/>
    <x v="2"/>
    <n v="61596"/>
    <s v="C"/>
    <n v="8818"/>
    <s v="Health + Dental"/>
    <n v="4"/>
    <n v="2"/>
    <s v="Leadership Training"/>
    <x v="1"/>
    <s v="None"/>
  </r>
  <r>
    <n v="3653"/>
    <x v="7"/>
    <x v="0"/>
    <x v="7"/>
    <x v="3"/>
    <x v="3"/>
    <x v="1"/>
    <x v="4"/>
    <s v="Richard Schmidt"/>
    <s v="2014-12-09"/>
    <x v="0"/>
    <x v="2"/>
    <n v="97869"/>
    <s v="A"/>
    <n v="1966"/>
    <s v="Health"/>
    <n v="10"/>
    <n v="1"/>
    <s v="Leadership Training"/>
    <x v="0"/>
    <s v="Certified Professional"/>
  </r>
  <r>
    <n v="5587"/>
    <x v="8"/>
    <x v="0"/>
    <x v="8"/>
    <x v="2"/>
    <x v="3"/>
    <x v="2"/>
    <x v="2"/>
    <s v="Teresa Pearson"/>
    <s v="2021-06-28"/>
    <x v="0"/>
    <x v="0"/>
    <n v="81235"/>
    <s v="A"/>
    <n v="6553"/>
    <s v="None"/>
    <n v="16"/>
    <n v="2"/>
    <s v="None"/>
    <x v="1"/>
    <s v="Certified Professional"/>
  </r>
  <r>
    <n v="9554"/>
    <x v="9"/>
    <x v="0"/>
    <x v="9"/>
    <x v="1"/>
    <x v="1"/>
    <x v="2"/>
    <x v="3"/>
    <s v="Laura Hart"/>
    <s v="2018-05-20"/>
    <x v="0"/>
    <x v="1"/>
    <n v="87852"/>
    <s v="A"/>
    <n v="4980"/>
    <s v="Health + Dental"/>
    <n v="19"/>
    <n v="3"/>
    <s v="None"/>
    <x v="2"/>
    <s v="Certified Professional"/>
  </r>
  <r>
    <n v="6213"/>
    <x v="10"/>
    <x v="1"/>
    <x v="10"/>
    <x v="0"/>
    <x v="3"/>
    <x v="0"/>
    <x v="2"/>
    <s v="Andrea May"/>
    <s v="2017-02-13"/>
    <x v="1"/>
    <x v="1"/>
    <n v="59359"/>
    <s v="A"/>
    <n v="9449"/>
    <s v="Health + Dental"/>
    <n v="20"/>
    <n v="3"/>
    <s v="None"/>
    <x v="1"/>
    <s v="None"/>
  </r>
  <r>
    <n v="9105"/>
    <x v="11"/>
    <x v="1"/>
    <x v="11"/>
    <x v="1"/>
    <x v="0"/>
    <x v="1"/>
    <x v="0"/>
    <s v="Casey Martin"/>
    <s v="2024-05-05"/>
    <x v="1"/>
    <x v="2"/>
    <n v="81225"/>
    <s v="D"/>
    <n v="6202"/>
    <s v="Health + Dental"/>
    <n v="2"/>
    <n v="2"/>
    <s v="Excel Workshop"/>
    <x v="4"/>
    <s v="Certified Professional"/>
  </r>
  <r>
    <n v="9508"/>
    <x v="12"/>
    <x v="0"/>
    <x v="12"/>
    <x v="4"/>
    <x v="1"/>
    <x v="0"/>
    <x v="0"/>
    <s v="Amber Allen"/>
    <s v="2022-04-19"/>
    <x v="1"/>
    <x v="0"/>
    <n v="32788"/>
    <s v="D"/>
    <n v="4396"/>
    <s v="Health"/>
    <n v="13"/>
    <n v="5"/>
    <s v="None"/>
    <x v="3"/>
    <s v="Advanced Training"/>
  </r>
  <r>
    <n v="2436"/>
    <x v="13"/>
    <x v="1"/>
    <x v="13"/>
    <x v="3"/>
    <x v="4"/>
    <x v="0"/>
    <x v="3"/>
    <s v="Adam Johnson"/>
    <s v="2015-11-16"/>
    <x v="1"/>
    <x v="2"/>
    <n v="70452"/>
    <s v="D"/>
    <n v="9911"/>
    <s v="None"/>
    <n v="2"/>
    <n v="1"/>
    <s v="None"/>
    <x v="3"/>
    <s v="Certified Professional"/>
  </r>
  <r>
    <n v="4441"/>
    <x v="14"/>
    <x v="1"/>
    <x v="14"/>
    <x v="4"/>
    <x v="1"/>
    <x v="3"/>
    <x v="0"/>
    <s v="Nicole Dominguez"/>
    <s v="2023-09-09"/>
    <x v="0"/>
    <x v="1"/>
    <n v="33045"/>
    <s v="B"/>
    <n v="1456"/>
    <s v="None"/>
    <n v="16"/>
    <n v="3"/>
    <s v="Excel Workshop"/>
    <x v="3"/>
    <s v="None"/>
  </r>
  <r>
    <n v="5827"/>
    <x v="15"/>
    <x v="1"/>
    <x v="15"/>
    <x v="3"/>
    <x v="2"/>
    <x v="3"/>
    <x v="1"/>
    <s v="Andrew Best"/>
    <s v="2017-12-12"/>
    <x v="2"/>
    <x v="2"/>
    <n v="96429"/>
    <s v="C"/>
    <n v="4740"/>
    <s v="None"/>
    <n v="8"/>
    <n v="1"/>
    <s v="Excel Workshop"/>
    <x v="2"/>
    <s v="None"/>
  </r>
  <r>
    <n v="5184"/>
    <x v="16"/>
    <x v="0"/>
    <x v="16"/>
    <x v="0"/>
    <x v="1"/>
    <x v="2"/>
    <x v="2"/>
    <s v="Gabrielle Rodriguez"/>
    <s v="2017-03-10"/>
    <x v="2"/>
    <x v="2"/>
    <n v="33183"/>
    <s v="A"/>
    <n v="8114"/>
    <s v="None"/>
    <n v="4"/>
    <n v="2"/>
    <s v="Excel Workshop"/>
    <x v="4"/>
    <s v="Advanced Training"/>
  </r>
  <r>
    <n v="5874"/>
    <x v="3"/>
    <x v="0"/>
    <x v="17"/>
    <x v="1"/>
    <x v="4"/>
    <x v="3"/>
    <x v="0"/>
    <s v="Allison Harvey"/>
    <s v="2019-03-04"/>
    <x v="2"/>
    <x v="0"/>
    <n v="75065"/>
    <s v="C"/>
    <n v="7123"/>
    <s v="None"/>
    <n v="20"/>
    <n v="2"/>
    <s v="None"/>
    <x v="0"/>
    <s v="Advanced Training"/>
  </r>
  <r>
    <n v="9834"/>
    <x v="17"/>
    <x v="1"/>
    <x v="3"/>
    <x v="2"/>
    <x v="1"/>
    <x v="1"/>
    <x v="4"/>
    <s v="Tristan Mejia"/>
    <s v="2022-11-20"/>
    <x v="0"/>
    <x v="2"/>
    <n v="32877"/>
    <s v="C"/>
    <n v="6432"/>
    <s v="Health"/>
    <n v="11"/>
    <n v="1"/>
    <s v="None"/>
    <x v="0"/>
    <s v="None"/>
  </r>
  <r>
    <n v="5096"/>
    <x v="18"/>
    <x v="1"/>
    <x v="18"/>
    <x v="2"/>
    <x v="1"/>
    <x v="4"/>
    <x v="3"/>
    <s v="Mary Welch"/>
    <s v="2021-03-02"/>
    <x v="0"/>
    <x v="1"/>
    <n v="46811"/>
    <s v="D"/>
    <n v="1567"/>
    <s v="None"/>
    <n v="7"/>
    <n v="3"/>
    <s v="Excel Workshop"/>
    <x v="0"/>
    <s v="Advanced Training"/>
  </r>
  <r>
    <n v="2263"/>
    <x v="19"/>
    <x v="1"/>
    <x v="19"/>
    <x v="1"/>
    <x v="3"/>
    <x v="2"/>
    <x v="1"/>
    <s v="Douglas Miles"/>
    <s v="2021-08-01"/>
    <x v="1"/>
    <x v="1"/>
    <n v="87538"/>
    <s v="C"/>
    <n v="3588"/>
    <s v="Health + Dental"/>
    <n v="11"/>
    <n v="5"/>
    <s v="Excel Workshop"/>
    <x v="2"/>
    <s v="None"/>
  </r>
  <r>
    <n v="6505"/>
    <x v="20"/>
    <x v="0"/>
    <x v="5"/>
    <x v="1"/>
    <x v="0"/>
    <x v="1"/>
    <x v="4"/>
    <s v="Jessica Fleming"/>
    <s v="2015-08-14"/>
    <x v="0"/>
    <x v="1"/>
    <n v="73002"/>
    <s v="C"/>
    <n v="6296"/>
    <s v="Health"/>
    <n v="2"/>
    <n v="5"/>
    <s v="Excel Workshop"/>
    <x v="1"/>
    <s v="Certified Professional"/>
  </r>
  <r>
    <n v="8626"/>
    <x v="21"/>
    <x v="1"/>
    <x v="20"/>
    <x v="2"/>
    <x v="3"/>
    <x v="1"/>
    <x v="3"/>
    <s v="Christine Lee"/>
    <s v="2015-10-21"/>
    <x v="2"/>
    <x v="2"/>
    <n v="41653"/>
    <s v="D"/>
    <n v="9236"/>
    <s v="None"/>
    <n v="13"/>
    <n v="1"/>
    <s v="Excel Workshop"/>
    <x v="0"/>
    <s v="None"/>
  </r>
  <r>
    <n v="5979"/>
    <x v="22"/>
    <x v="0"/>
    <x v="19"/>
    <x v="1"/>
    <x v="0"/>
    <x v="0"/>
    <x v="2"/>
    <s v="Mario Smith DVM"/>
    <s v="2015-03-14"/>
    <x v="1"/>
    <x v="1"/>
    <n v="67582"/>
    <s v="A"/>
    <n v="1375"/>
    <s v="Health"/>
    <n v="20"/>
    <n v="3"/>
    <s v="Excel Workshop"/>
    <x v="1"/>
    <s v="None"/>
  </r>
  <r>
    <n v="3104"/>
    <x v="23"/>
    <x v="0"/>
    <x v="10"/>
    <x v="0"/>
    <x v="3"/>
    <x v="1"/>
    <x v="1"/>
    <s v="Joseph Francis"/>
    <s v="2024-05-22"/>
    <x v="2"/>
    <x v="1"/>
    <n v="37351"/>
    <s v="D"/>
    <n v="7858"/>
    <s v="Health + Dental"/>
    <n v="18"/>
    <n v="2"/>
    <s v="Leadership Training"/>
    <x v="1"/>
    <s v="Advanced Training"/>
  </r>
  <r>
    <n v="8967"/>
    <x v="24"/>
    <x v="0"/>
    <x v="21"/>
    <x v="4"/>
    <x v="4"/>
    <x v="2"/>
    <x v="0"/>
    <s v="Sarah Young"/>
    <s v="2017-03-19"/>
    <x v="0"/>
    <x v="1"/>
    <n v="36721"/>
    <s v="B"/>
    <n v="8820"/>
    <s v="Health + Dental"/>
    <n v="0"/>
    <n v="2"/>
    <s v="Excel Workshop"/>
    <x v="1"/>
    <s v="Certified Professional"/>
  </r>
  <r>
    <n v="5087"/>
    <x v="25"/>
    <x v="1"/>
    <x v="5"/>
    <x v="1"/>
    <x v="2"/>
    <x v="4"/>
    <x v="0"/>
    <s v="Aaron Hart"/>
    <s v="2021-09-15"/>
    <x v="1"/>
    <x v="2"/>
    <n v="46326"/>
    <s v="B"/>
    <n v="9189"/>
    <s v="Health + Dental"/>
    <n v="8"/>
    <n v="4"/>
    <s v="Leadership Training"/>
    <x v="3"/>
    <s v="Advanced Training"/>
  </r>
  <r>
    <n v="3358"/>
    <x v="26"/>
    <x v="1"/>
    <x v="11"/>
    <x v="1"/>
    <x v="1"/>
    <x v="3"/>
    <x v="1"/>
    <s v="Brian Boyd"/>
    <s v="2022-05-09"/>
    <x v="0"/>
    <x v="0"/>
    <n v="59007"/>
    <s v="C"/>
    <n v="3380"/>
    <s v="Health"/>
    <n v="17"/>
    <n v="3"/>
    <s v="None"/>
    <x v="4"/>
    <s v="Certified Professional"/>
  </r>
  <r>
    <n v="8256"/>
    <x v="27"/>
    <x v="1"/>
    <x v="14"/>
    <x v="4"/>
    <x v="3"/>
    <x v="0"/>
    <x v="3"/>
    <s v="Steven Krueger"/>
    <s v="2017-06-22"/>
    <x v="0"/>
    <x v="1"/>
    <n v="52020"/>
    <s v="B"/>
    <n v="9585"/>
    <s v="Health + Dental"/>
    <n v="0"/>
    <n v="4"/>
    <s v="Excel Workshop"/>
    <x v="4"/>
    <s v="None"/>
  </r>
  <r>
    <n v="5763"/>
    <x v="28"/>
    <x v="1"/>
    <x v="8"/>
    <x v="2"/>
    <x v="1"/>
    <x v="2"/>
    <x v="1"/>
    <s v="Debra Williams"/>
    <s v="2020-11-28"/>
    <x v="2"/>
    <x v="1"/>
    <n v="98961"/>
    <s v="D"/>
    <n v="2688"/>
    <s v="Health"/>
    <n v="2"/>
    <n v="5"/>
    <s v="Excel Workshop"/>
    <x v="4"/>
    <s v="Certified Professional"/>
  </r>
  <r>
    <n v="6838"/>
    <x v="29"/>
    <x v="1"/>
    <x v="22"/>
    <x v="2"/>
    <x v="2"/>
    <x v="3"/>
    <x v="2"/>
    <s v="Karen Mitchell"/>
    <s v="2015-08-30"/>
    <x v="2"/>
    <x v="1"/>
    <n v="81943"/>
    <s v="C"/>
    <n v="2255"/>
    <s v="Health"/>
    <n v="18"/>
    <n v="2"/>
    <s v="None"/>
    <x v="2"/>
    <s v="Certified Professional"/>
  </r>
  <r>
    <n v="9544"/>
    <x v="30"/>
    <x v="1"/>
    <x v="23"/>
    <x v="4"/>
    <x v="4"/>
    <x v="2"/>
    <x v="1"/>
    <s v="Joseph Sanders"/>
    <s v="2018-10-27"/>
    <x v="2"/>
    <x v="1"/>
    <n v="47627"/>
    <s v="C"/>
    <n v="1221"/>
    <s v="None"/>
    <n v="4"/>
    <n v="3"/>
    <s v="None"/>
    <x v="1"/>
    <s v="None"/>
  </r>
  <r>
    <n v="8012"/>
    <x v="31"/>
    <x v="0"/>
    <x v="23"/>
    <x v="4"/>
    <x v="0"/>
    <x v="0"/>
    <x v="4"/>
    <s v="Shelly George"/>
    <s v="2018-08-26"/>
    <x v="2"/>
    <x v="1"/>
    <n v="56162"/>
    <s v="D"/>
    <n v="6560"/>
    <s v="Health + Dental"/>
    <n v="9"/>
    <n v="4"/>
    <s v="Excel Workshop"/>
    <x v="3"/>
    <s v="None"/>
  </r>
  <r>
    <n v="9374"/>
    <x v="32"/>
    <x v="0"/>
    <x v="24"/>
    <x v="2"/>
    <x v="1"/>
    <x v="2"/>
    <x v="2"/>
    <s v="Nicole Houston"/>
    <s v="2023-07-24"/>
    <x v="1"/>
    <x v="2"/>
    <n v="95734"/>
    <s v="C"/>
    <n v="4854"/>
    <s v="Health"/>
    <n v="13"/>
    <n v="2"/>
    <s v="Leadership Training"/>
    <x v="0"/>
    <s v="Certified Professional"/>
  </r>
  <r>
    <n v="3487"/>
    <x v="33"/>
    <x v="1"/>
    <x v="7"/>
    <x v="3"/>
    <x v="1"/>
    <x v="1"/>
    <x v="3"/>
    <s v="Kristin Shaffer"/>
    <s v="2018-07-09"/>
    <x v="1"/>
    <x v="2"/>
    <n v="74789"/>
    <s v="C"/>
    <n v="8101"/>
    <s v="Health + Dental"/>
    <n v="14"/>
    <n v="5"/>
    <s v="Excel Workshop"/>
    <x v="2"/>
    <s v="None"/>
  </r>
  <r>
    <n v="8445"/>
    <x v="34"/>
    <x v="0"/>
    <x v="16"/>
    <x v="0"/>
    <x v="4"/>
    <x v="0"/>
    <x v="3"/>
    <s v="Joel Aguilar"/>
    <s v="2016-12-21"/>
    <x v="0"/>
    <x v="2"/>
    <n v="30137"/>
    <s v="B"/>
    <n v="4031"/>
    <s v="None"/>
    <n v="5"/>
    <n v="3"/>
    <s v="None"/>
    <x v="1"/>
    <s v="Certified Professional"/>
  </r>
  <r>
    <n v="1550"/>
    <x v="35"/>
    <x v="1"/>
    <x v="25"/>
    <x v="0"/>
    <x v="1"/>
    <x v="0"/>
    <x v="0"/>
    <s v="Michael Wade"/>
    <s v="2019-06-27"/>
    <x v="0"/>
    <x v="2"/>
    <n v="95510"/>
    <s v="C"/>
    <n v="6811"/>
    <s v="Health"/>
    <n v="18"/>
    <n v="4"/>
    <s v="Excel Workshop"/>
    <x v="4"/>
    <s v="Certified Professional"/>
  </r>
  <r>
    <n v="9968"/>
    <x v="36"/>
    <x v="1"/>
    <x v="7"/>
    <x v="3"/>
    <x v="1"/>
    <x v="3"/>
    <x v="0"/>
    <s v="Jessica Walsh"/>
    <s v="2021-08-27"/>
    <x v="1"/>
    <x v="0"/>
    <n v="80325"/>
    <s v="B"/>
    <n v="6230"/>
    <s v="Health"/>
    <n v="5"/>
    <n v="4"/>
    <s v="None"/>
    <x v="2"/>
    <s v="Advanced Training"/>
  </r>
  <r>
    <n v="8029"/>
    <x v="37"/>
    <x v="0"/>
    <x v="15"/>
    <x v="3"/>
    <x v="3"/>
    <x v="4"/>
    <x v="4"/>
    <s v="Kelly Mack"/>
    <s v="2017-05-28"/>
    <x v="2"/>
    <x v="1"/>
    <n v="34109"/>
    <s v="B"/>
    <n v="9232"/>
    <s v="Health"/>
    <n v="13"/>
    <n v="3"/>
    <s v="Leadership Training"/>
    <x v="0"/>
    <s v="Certified Professional"/>
  </r>
  <r>
    <n v="8847"/>
    <x v="38"/>
    <x v="1"/>
    <x v="3"/>
    <x v="2"/>
    <x v="3"/>
    <x v="3"/>
    <x v="0"/>
    <s v="John Conley"/>
    <s v="2022-01-30"/>
    <x v="2"/>
    <x v="2"/>
    <n v="73330"/>
    <s v="C"/>
    <n v="2276"/>
    <s v="Health + Dental"/>
    <n v="5"/>
    <n v="1"/>
    <s v="None"/>
    <x v="1"/>
    <s v="Advanced Training"/>
  </r>
  <r>
    <n v="1955"/>
    <x v="39"/>
    <x v="0"/>
    <x v="7"/>
    <x v="3"/>
    <x v="2"/>
    <x v="2"/>
    <x v="1"/>
    <s v="Aaron Baker"/>
    <s v="2017-04-20"/>
    <x v="1"/>
    <x v="2"/>
    <n v="46567"/>
    <s v="A"/>
    <n v="2825"/>
    <s v="Health"/>
    <n v="15"/>
    <n v="3"/>
    <s v="None"/>
    <x v="4"/>
    <s v="Advanced Training"/>
  </r>
  <r>
    <n v="4522"/>
    <x v="40"/>
    <x v="0"/>
    <x v="18"/>
    <x v="2"/>
    <x v="0"/>
    <x v="4"/>
    <x v="0"/>
    <s v="Christopher Bass"/>
    <s v="2019-07-22"/>
    <x v="1"/>
    <x v="1"/>
    <n v="39795"/>
    <s v="A"/>
    <n v="1670"/>
    <s v="None"/>
    <n v="0"/>
    <n v="2"/>
    <s v="Excel Workshop"/>
    <x v="3"/>
    <s v="None"/>
  </r>
  <r>
    <n v="3078"/>
    <x v="41"/>
    <x v="0"/>
    <x v="25"/>
    <x v="0"/>
    <x v="0"/>
    <x v="0"/>
    <x v="4"/>
    <s v="Sean Tucker PhD"/>
    <s v="2018-11-29"/>
    <x v="1"/>
    <x v="2"/>
    <n v="59506"/>
    <s v="A"/>
    <n v="4428"/>
    <s v="Health + Dental"/>
    <n v="0"/>
    <n v="1"/>
    <s v="None"/>
    <x v="3"/>
    <s v="Certified Professional"/>
  </r>
  <r>
    <n v="6357"/>
    <x v="42"/>
    <x v="0"/>
    <x v="14"/>
    <x v="4"/>
    <x v="2"/>
    <x v="1"/>
    <x v="4"/>
    <s v="Jacob Scott"/>
    <s v="2022-11-14"/>
    <x v="1"/>
    <x v="2"/>
    <n v="49058"/>
    <s v="B"/>
    <n v="4396"/>
    <s v="None"/>
    <n v="5"/>
    <n v="1"/>
    <s v="None"/>
    <x v="3"/>
    <s v="None"/>
  </r>
  <r>
    <n v="7951"/>
    <x v="43"/>
    <x v="0"/>
    <x v="18"/>
    <x v="2"/>
    <x v="3"/>
    <x v="2"/>
    <x v="4"/>
    <s v="Joel Park"/>
    <s v="2016-02-23"/>
    <x v="1"/>
    <x v="0"/>
    <n v="98612"/>
    <s v="A"/>
    <n v="1168"/>
    <s v="None"/>
    <n v="9"/>
    <n v="2"/>
    <s v="Excel Workshop"/>
    <x v="0"/>
    <s v="Certified Professional"/>
  </r>
  <r>
    <n v="9228"/>
    <x v="44"/>
    <x v="1"/>
    <x v="3"/>
    <x v="2"/>
    <x v="4"/>
    <x v="3"/>
    <x v="1"/>
    <s v="Russell Marshall"/>
    <s v="2018-05-18"/>
    <x v="2"/>
    <x v="1"/>
    <n v="38201"/>
    <s v="A"/>
    <n v="7111"/>
    <s v="Health"/>
    <n v="8"/>
    <n v="4"/>
    <s v="Leadership Training"/>
    <x v="3"/>
    <s v="None"/>
  </r>
  <r>
    <n v="8988"/>
    <x v="45"/>
    <x v="1"/>
    <x v="0"/>
    <x v="0"/>
    <x v="0"/>
    <x v="2"/>
    <x v="2"/>
    <s v="James Holden"/>
    <s v="2024-03-09"/>
    <x v="2"/>
    <x v="1"/>
    <n v="92919"/>
    <s v="D"/>
    <n v="9497"/>
    <s v="Health"/>
    <n v="7"/>
    <n v="2"/>
    <s v="None"/>
    <x v="3"/>
    <s v="Advanced Training"/>
  </r>
  <r>
    <n v="1952"/>
    <x v="46"/>
    <x v="0"/>
    <x v="9"/>
    <x v="1"/>
    <x v="4"/>
    <x v="0"/>
    <x v="1"/>
    <s v="Thomas Murphy"/>
    <s v="2024-03-27"/>
    <x v="0"/>
    <x v="2"/>
    <n v="45188"/>
    <s v="A"/>
    <n v="9591"/>
    <s v="Health + Dental"/>
    <n v="18"/>
    <n v="3"/>
    <s v="Leadership Training"/>
    <x v="3"/>
    <s v="None"/>
  </r>
  <r>
    <n v="5760"/>
    <x v="47"/>
    <x v="0"/>
    <x v="26"/>
    <x v="3"/>
    <x v="2"/>
    <x v="1"/>
    <x v="0"/>
    <s v="Mark Abbott"/>
    <s v="2019-12-23"/>
    <x v="0"/>
    <x v="1"/>
    <n v="34927"/>
    <s v="D"/>
    <n v="6996"/>
    <s v="Health + Dental"/>
    <n v="16"/>
    <n v="1"/>
    <s v="Excel Workshop"/>
    <x v="0"/>
    <s v="Certified Professional"/>
  </r>
  <r>
    <n v="5742"/>
    <x v="48"/>
    <x v="0"/>
    <x v="1"/>
    <x v="1"/>
    <x v="0"/>
    <x v="2"/>
    <x v="3"/>
    <s v="Robin Lynch"/>
    <s v="2016-08-25"/>
    <x v="0"/>
    <x v="1"/>
    <n v="33183"/>
    <s v="A"/>
    <n v="1659"/>
    <s v="None"/>
    <n v="11"/>
    <n v="1"/>
    <s v="Leadership Training"/>
    <x v="2"/>
    <s v="Non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F40C7C-AFFF-4399-A4C8-653316CED921}" name="department"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C3:AD9" firstHeaderRow="1" firstDataRow="1" firstDataCol="1"/>
  <pivotFields count="21">
    <pivotField showAll="0"/>
    <pivotField showAll="0">
      <items count="50">
        <item x="43"/>
        <item x="46"/>
        <item x="4"/>
        <item x="11"/>
        <item x="8"/>
        <item x="23"/>
        <item x="39"/>
        <item x="6"/>
        <item x="36"/>
        <item x="38"/>
        <item x="5"/>
        <item x="45"/>
        <item x="15"/>
        <item x="12"/>
        <item x="7"/>
        <item x="22"/>
        <item x="19"/>
        <item x="16"/>
        <item x="41"/>
        <item x="1"/>
        <item x="28"/>
        <item x="2"/>
        <item x="40"/>
        <item x="14"/>
        <item x="26"/>
        <item x="18"/>
        <item x="3"/>
        <item x="0"/>
        <item x="9"/>
        <item x="29"/>
        <item x="32"/>
        <item x="31"/>
        <item x="21"/>
        <item x="10"/>
        <item x="25"/>
        <item x="48"/>
        <item x="20"/>
        <item x="33"/>
        <item x="47"/>
        <item x="27"/>
        <item x="44"/>
        <item x="30"/>
        <item x="34"/>
        <item x="13"/>
        <item x="17"/>
        <item x="35"/>
        <item x="37"/>
        <item x="42"/>
        <item x="24"/>
        <item t="default"/>
      </items>
    </pivotField>
    <pivotField showAll="0">
      <items count="3">
        <item x="0"/>
        <item x="1"/>
        <item t="default"/>
      </items>
    </pivotField>
    <pivotField showAll="0">
      <items count="28">
        <item x="6"/>
        <item x="25"/>
        <item x="10"/>
        <item x="16"/>
        <item x="0"/>
        <item x="1"/>
        <item x="5"/>
        <item x="9"/>
        <item x="11"/>
        <item x="19"/>
        <item x="2"/>
        <item x="17"/>
        <item x="18"/>
        <item x="20"/>
        <item x="3"/>
        <item x="24"/>
        <item x="8"/>
        <item x="22"/>
        <item x="14"/>
        <item x="21"/>
        <item x="12"/>
        <item x="23"/>
        <item x="4"/>
        <item x="15"/>
        <item x="7"/>
        <item x="26"/>
        <item x="13"/>
        <item t="default"/>
      </items>
    </pivotField>
    <pivotField showAll="0">
      <items count="6">
        <item x="0"/>
        <item x="1"/>
        <item x="2"/>
        <item x="4"/>
        <item x="3"/>
        <item t="default"/>
      </items>
    </pivotField>
    <pivotField showAll="0">
      <items count="6">
        <item x="1"/>
        <item x="0"/>
        <item x="4"/>
        <item x="3"/>
        <item x="2"/>
        <item t="default"/>
      </items>
    </pivotField>
    <pivotField showAll="0">
      <items count="6">
        <item x="4"/>
        <item x="1"/>
        <item x="3"/>
        <item x="2"/>
        <item x="0"/>
        <item t="default"/>
      </items>
    </pivotField>
    <pivotField axis="axisRow" showAll="0">
      <items count="6">
        <item x="0"/>
        <item x="1"/>
        <item x="4"/>
        <item x="2"/>
        <item x="3"/>
        <item t="default"/>
      </items>
    </pivotField>
    <pivotField showAll="0"/>
    <pivotField showAll="0"/>
    <pivotField showAll="0">
      <items count="4">
        <item x="1"/>
        <item x="0"/>
        <item x="2"/>
        <item t="default"/>
      </items>
    </pivotField>
    <pivotField showAll="0">
      <items count="4">
        <item x="1"/>
        <item x="0"/>
        <item x="2"/>
        <item t="default"/>
      </items>
    </pivotField>
    <pivotField showAll="0"/>
    <pivotField showAll="0"/>
    <pivotField showAll="0"/>
    <pivotField showAll="0"/>
    <pivotField showAll="0"/>
    <pivotField dataField="1" showAll="0"/>
    <pivotField showAll="0"/>
    <pivotField showAll="0">
      <items count="6">
        <item x="3"/>
        <item x="0"/>
        <item x="4"/>
        <item x="1"/>
        <item x="2"/>
        <item t="default"/>
      </items>
    </pivotField>
    <pivotField showAll="0"/>
  </pivotFields>
  <rowFields count="1">
    <field x="7"/>
  </rowFields>
  <rowItems count="6">
    <i>
      <x/>
    </i>
    <i>
      <x v="1"/>
    </i>
    <i>
      <x v="2"/>
    </i>
    <i>
      <x v="3"/>
    </i>
    <i>
      <x v="4"/>
    </i>
    <i t="grand">
      <x/>
    </i>
  </rowItems>
  <colItems count="1">
    <i/>
  </colItems>
  <dataFields count="1">
    <dataField name="Average of Performance Rating" fld="17" subtotal="average" baseField="7" baseItem="0"/>
  </dataFields>
  <formats count="1">
    <format dxfId="45">
      <pivotArea collapsedLevelsAreSubtotals="1" fieldPosition="0">
        <references count="1">
          <reference field="7"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19F9880-F8EF-4627-9206-F5E688B687E0}" name="PivotTable32"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Y3:Z9" firstHeaderRow="1" firstDataRow="1" firstDataCol="1"/>
  <pivotFields count="21">
    <pivotField showAll="0"/>
    <pivotField dataField="1" showAll="0">
      <items count="50">
        <item x="43"/>
        <item x="46"/>
        <item x="4"/>
        <item x="11"/>
        <item x="8"/>
        <item x="23"/>
        <item x="39"/>
        <item x="6"/>
        <item x="36"/>
        <item x="38"/>
        <item x="5"/>
        <item x="45"/>
        <item x="15"/>
        <item x="12"/>
        <item x="7"/>
        <item x="22"/>
        <item x="19"/>
        <item x="16"/>
        <item x="41"/>
        <item x="1"/>
        <item x="28"/>
        <item x="2"/>
        <item x="40"/>
        <item x="14"/>
        <item x="26"/>
        <item x="18"/>
        <item x="3"/>
        <item x="0"/>
        <item x="9"/>
        <item x="29"/>
        <item x="32"/>
        <item x="31"/>
        <item x="21"/>
        <item x="10"/>
        <item x="25"/>
        <item x="48"/>
        <item x="20"/>
        <item x="33"/>
        <item x="47"/>
        <item x="27"/>
        <item x="44"/>
        <item x="30"/>
        <item x="34"/>
        <item x="13"/>
        <item x="17"/>
        <item x="35"/>
        <item x="37"/>
        <item x="42"/>
        <item x="24"/>
        <item t="default"/>
      </items>
    </pivotField>
    <pivotField showAll="0">
      <items count="3">
        <item x="0"/>
        <item x="1"/>
        <item t="default"/>
      </items>
    </pivotField>
    <pivotField showAll="0">
      <items count="28">
        <item x="6"/>
        <item x="25"/>
        <item x="10"/>
        <item x="16"/>
        <item x="0"/>
        <item x="1"/>
        <item x="5"/>
        <item x="9"/>
        <item x="11"/>
        <item x="19"/>
        <item x="2"/>
        <item x="17"/>
        <item x="18"/>
        <item x="20"/>
        <item x="3"/>
        <item x="24"/>
        <item x="8"/>
        <item x="22"/>
        <item x="14"/>
        <item x="21"/>
        <item x="12"/>
        <item x="23"/>
        <item x="4"/>
        <item x="15"/>
        <item x="7"/>
        <item x="26"/>
        <item x="13"/>
        <item t="default"/>
      </items>
    </pivotField>
    <pivotField showAll="0">
      <items count="6">
        <item x="0"/>
        <item x="1"/>
        <item x="2"/>
        <item x="4"/>
        <item x="3"/>
        <item t="default"/>
      </items>
    </pivotField>
    <pivotField axis="axisRow" showAll="0">
      <items count="6">
        <item x="1"/>
        <item x="0"/>
        <item x="4"/>
        <item x="3"/>
        <item x="2"/>
        <item t="default"/>
      </items>
    </pivotField>
    <pivotField showAll="0">
      <items count="6">
        <item x="4"/>
        <item x="1"/>
        <item x="3"/>
        <item x="2"/>
        <item x="0"/>
        <item t="default"/>
      </items>
    </pivotField>
    <pivotField showAll="0">
      <items count="6">
        <item x="0"/>
        <item x="1"/>
        <item x="4"/>
        <item x="2"/>
        <item x="3"/>
        <item t="default"/>
      </items>
    </pivotField>
    <pivotField showAll="0"/>
    <pivotField showAll="0"/>
    <pivotField showAll="0">
      <items count="4">
        <item x="1"/>
        <item x="0"/>
        <item x="2"/>
        <item t="default"/>
      </items>
    </pivotField>
    <pivotField showAll="0">
      <items count="4">
        <item x="1"/>
        <item x="0"/>
        <item x="2"/>
        <item t="default"/>
      </items>
    </pivotField>
    <pivotField showAll="0"/>
    <pivotField showAll="0"/>
    <pivotField showAll="0"/>
    <pivotField showAll="0"/>
    <pivotField showAll="0"/>
    <pivotField showAll="0"/>
    <pivotField showAll="0"/>
    <pivotField showAll="0">
      <items count="6">
        <item x="3"/>
        <item x="0"/>
        <item x="4"/>
        <item x="1"/>
        <item x="2"/>
        <item t="default"/>
      </items>
    </pivotField>
    <pivotField showAll="0"/>
  </pivotFields>
  <rowFields count="1">
    <field x="5"/>
  </rowFields>
  <rowItems count="6">
    <i>
      <x/>
    </i>
    <i>
      <x v="1"/>
    </i>
    <i>
      <x v="2"/>
    </i>
    <i>
      <x v="3"/>
    </i>
    <i>
      <x v="4"/>
    </i>
    <i t="grand">
      <x/>
    </i>
  </rowItems>
  <colItems count="1">
    <i/>
  </colItems>
  <dataFields count="1">
    <dataField name="Count of Full Name"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5CAFF37-290F-4FFF-9805-90D38D4C2283}" name="skills"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U3:V9" firstHeaderRow="1" firstDataRow="1" firstDataCol="1"/>
  <pivotFields count="21">
    <pivotField showAll="0"/>
    <pivotField dataField="1" showAll="0">
      <items count="50">
        <item x="43"/>
        <item x="46"/>
        <item x="4"/>
        <item x="11"/>
        <item x="8"/>
        <item x="23"/>
        <item x="39"/>
        <item x="6"/>
        <item x="36"/>
        <item x="38"/>
        <item x="5"/>
        <item x="45"/>
        <item x="15"/>
        <item x="12"/>
        <item x="7"/>
        <item x="22"/>
        <item x="19"/>
        <item x="16"/>
        <item x="41"/>
        <item x="1"/>
        <item x="28"/>
        <item x="2"/>
        <item x="40"/>
        <item x="14"/>
        <item x="26"/>
        <item x="18"/>
        <item x="3"/>
        <item x="0"/>
        <item x="9"/>
        <item x="29"/>
        <item x="32"/>
        <item x="31"/>
        <item x="21"/>
        <item x="10"/>
        <item x="25"/>
        <item x="48"/>
        <item x="20"/>
        <item x="33"/>
        <item x="47"/>
        <item x="27"/>
        <item x="44"/>
        <item x="30"/>
        <item x="34"/>
        <item x="13"/>
        <item x="17"/>
        <item x="35"/>
        <item x="37"/>
        <item x="42"/>
        <item x="24"/>
        <item t="default"/>
      </items>
    </pivotField>
    <pivotField showAll="0">
      <items count="3">
        <item x="0"/>
        <item x="1"/>
        <item t="default"/>
      </items>
    </pivotField>
    <pivotField showAll="0">
      <items count="28">
        <item x="6"/>
        <item x="25"/>
        <item x="10"/>
        <item x="16"/>
        <item x="0"/>
        <item x="1"/>
        <item x="5"/>
        <item x="9"/>
        <item x="11"/>
        <item x="19"/>
        <item x="2"/>
        <item x="17"/>
        <item x="18"/>
        <item x="20"/>
        <item x="3"/>
        <item x="24"/>
        <item x="8"/>
        <item x="22"/>
        <item x="14"/>
        <item x="21"/>
        <item x="12"/>
        <item x="23"/>
        <item x="4"/>
        <item x="15"/>
        <item x="7"/>
        <item x="26"/>
        <item x="13"/>
        <item t="default"/>
      </items>
    </pivotField>
    <pivotField showAll="0">
      <items count="6">
        <item x="0"/>
        <item x="1"/>
        <item x="2"/>
        <item x="4"/>
        <item x="3"/>
        <item t="default"/>
      </items>
    </pivotField>
    <pivotField showAll="0"/>
    <pivotField showAll="0">
      <items count="6">
        <item x="4"/>
        <item x="1"/>
        <item x="3"/>
        <item x="2"/>
        <item x="0"/>
        <item t="default"/>
      </items>
    </pivotField>
    <pivotField showAll="0">
      <items count="6">
        <item x="0"/>
        <item x="1"/>
        <item x="4"/>
        <item x="2"/>
        <item x="3"/>
        <item t="default"/>
      </items>
    </pivotField>
    <pivotField showAll="0"/>
    <pivotField showAll="0"/>
    <pivotField showAll="0">
      <items count="4">
        <item x="1"/>
        <item x="0"/>
        <item x="2"/>
        <item t="default"/>
      </items>
    </pivotField>
    <pivotField showAll="0">
      <items count="4">
        <item x="1"/>
        <item x="0"/>
        <item x="2"/>
        <item t="default"/>
      </items>
    </pivotField>
    <pivotField showAll="0"/>
    <pivotField showAll="0"/>
    <pivotField showAll="0"/>
    <pivotField showAll="0"/>
    <pivotField showAll="0"/>
    <pivotField showAll="0"/>
    <pivotField showAll="0"/>
    <pivotField axis="axisRow" showAll="0">
      <items count="6">
        <item x="3"/>
        <item x="0"/>
        <item x="4"/>
        <item x="1"/>
        <item x="2"/>
        <item t="default"/>
      </items>
    </pivotField>
    <pivotField showAll="0"/>
  </pivotFields>
  <rowFields count="1">
    <field x="19"/>
  </rowFields>
  <rowItems count="6">
    <i>
      <x/>
    </i>
    <i>
      <x v="1"/>
    </i>
    <i>
      <x v="2"/>
    </i>
    <i>
      <x v="3"/>
    </i>
    <i>
      <x v="4"/>
    </i>
    <i t="grand">
      <x/>
    </i>
  </rowItems>
  <colItems count="1">
    <i/>
  </colItems>
  <dataFields count="1">
    <dataField name="Count of Full Name"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83F313A-B285-4442-9400-71CB44932B4A}" name="work place"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P3:Q7" firstHeaderRow="1" firstDataRow="1" firstDataCol="1"/>
  <pivotFields count="21">
    <pivotField showAll="0"/>
    <pivotField dataField="1" showAll="0">
      <items count="50">
        <item x="43"/>
        <item x="46"/>
        <item x="4"/>
        <item x="11"/>
        <item x="8"/>
        <item x="23"/>
        <item x="39"/>
        <item x="6"/>
        <item x="36"/>
        <item x="38"/>
        <item x="5"/>
        <item x="45"/>
        <item x="15"/>
        <item x="12"/>
        <item x="7"/>
        <item x="22"/>
        <item x="19"/>
        <item x="16"/>
        <item x="41"/>
        <item x="1"/>
        <item x="28"/>
        <item x="2"/>
        <item x="40"/>
        <item x="14"/>
        <item x="26"/>
        <item x="18"/>
        <item x="3"/>
        <item x="0"/>
        <item x="9"/>
        <item x="29"/>
        <item x="32"/>
        <item x="31"/>
        <item x="21"/>
        <item x="10"/>
        <item x="25"/>
        <item x="48"/>
        <item x="20"/>
        <item x="33"/>
        <item x="47"/>
        <item x="27"/>
        <item x="44"/>
        <item x="30"/>
        <item x="34"/>
        <item x="13"/>
        <item x="17"/>
        <item x="35"/>
        <item x="37"/>
        <item x="42"/>
        <item x="24"/>
        <item t="default"/>
      </items>
    </pivotField>
    <pivotField showAll="0">
      <items count="3">
        <item x="0"/>
        <item x="1"/>
        <item t="default"/>
      </items>
    </pivotField>
    <pivotField showAll="0">
      <items count="28">
        <item x="6"/>
        <item x="25"/>
        <item x="10"/>
        <item x="16"/>
        <item x="0"/>
        <item x="1"/>
        <item x="5"/>
        <item x="9"/>
        <item x="11"/>
        <item x="19"/>
        <item x="2"/>
        <item x="17"/>
        <item x="18"/>
        <item x="20"/>
        <item x="3"/>
        <item x="24"/>
        <item x="8"/>
        <item x="22"/>
        <item x="14"/>
        <item x="21"/>
        <item x="12"/>
        <item x="23"/>
        <item x="4"/>
        <item x="15"/>
        <item x="7"/>
        <item x="26"/>
        <item x="13"/>
        <item t="default"/>
      </items>
    </pivotField>
    <pivotField showAll="0">
      <items count="6">
        <item x="0"/>
        <item x="1"/>
        <item x="2"/>
        <item x="4"/>
        <item x="3"/>
        <item t="default"/>
      </items>
    </pivotField>
    <pivotField showAll="0"/>
    <pivotField showAll="0">
      <items count="6">
        <item x="4"/>
        <item x="1"/>
        <item x="3"/>
        <item x="2"/>
        <item x="0"/>
        <item t="default"/>
      </items>
    </pivotField>
    <pivotField showAll="0">
      <items count="6">
        <item x="0"/>
        <item x="1"/>
        <item x="4"/>
        <item x="2"/>
        <item x="3"/>
        <item t="default"/>
      </items>
    </pivotField>
    <pivotField showAll="0"/>
    <pivotField showAll="0"/>
    <pivotField showAll="0">
      <items count="4">
        <item x="1"/>
        <item x="0"/>
        <item x="2"/>
        <item t="default"/>
      </items>
    </pivotField>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pivotFields>
  <rowFields count="1">
    <field x="11"/>
  </rowFields>
  <rowItems count="4">
    <i>
      <x/>
    </i>
    <i>
      <x v="1"/>
    </i>
    <i>
      <x v="2"/>
    </i>
    <i t="grand">
      <x/>
    </i>
  </rowItems>
  <colItems count="1">
    <i/>
  </colItems>
  <dataFields count="1">
    <dataField name="Count of Full Name"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DEDFDA9-CA1A-431E-A77D-379A73D359DB}" name="gender"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J3:M10" firstHeaderRow="1" firstDataRow="2" firstDataCol="1"/>
  <pivotFields count="21">
    <pivotField showAll="0"/>
    <pivotField dataField="1" showAll="0">
      <items count="50">
        <item x="43"/>
        <item x="46"/>
        <item x="4"/>
        <item x="11"/>
        <item x="8"/>
        <item x="23"/>
        <item x="39"/>
        <item x="6"/>
        <item x="36"/>
        <item x="38"/>
        <item x="5"/>
        <item x="45"/>
        <item x="15"/>
        <item x="12"/>
        <item x="7"/>
        <item x="22"/>
        <item x="19"/>
        <item x="16"/>
        <item x="41"/>
        <item x="1"/>
        <item x="28"/>
        <item x="2"/>
        <item x="40"/>
        <item x="14"/>
        <item x="26"/>
        <item x="18"/>
        <item x="3"/>
        <item x="0"/>
        <item x="9"/>
        <item x="29"/>
        <item x="32"/>
        <item x="31"/>
        <item x="21"/>
        <item x="10"/>
        <item x="25"/>
        <item x="48"/>
        <item x="20"/>
        <item x="33"/>
        <item x="47"/>
        <item x="27"/>
        <item x="44"/>
        <item x="30"/>
        <item x="34"/>
        <item x="13"/>
        <item x="17"/>
        <item x="35"/>
        <item x="37"/>
        <item x="42"/>
        <item x="24"/>
        <item t="default"/>
      </items>
    </pivotField>
    <pivotField axis="axisCol" showAll="0">
      <items count="3">
        <item x="0"/>
        <item x="1"/>
        <item t="default"/>
      </items>
    </pivotField>
    <pivotField showAll="0">
      <items count="28">
        <item x="6"/>
        <item x="25"/>
        <item x="10"/>
        <item x="16"/>
        <item x="0"/>
        <item x="1"/>
        <item x="5"/>
        <item x="9"/>
        <item x="11"/>
        <item x="19"/>
        <item x="2"/>
        <item x="17"/>
        <item x="18"/>
        <item x="20"/>
        <item x="3"/>
        <item x="24"/>
        <item x="8"/>
        <item x="22"/>
        <item x="14"/>
        <item x="21"/>
        <item x="12"/>
        <item x="23"/>
        <item x="4"/>
        <item x="15"/>
        <item x="7"/>
        <item x="26"/>
        <item x="13"/>
        <item t="default"/>
      </items>
    </pivotField>
    <pivotField axis="axisRow" showAll="0">
      <items count="6">
        <item x="0"/>
        <item x="1"/>
        <item x="2"/>
        <item x="4"/>
        <item x="3"/>
        <item t="default"/>
      </items>
    </pivotField>
    <pivotField showAll="0"/>
    <pivotField showAll="0">
      <items count="6">
        <item x="4"/>
        <item x="1"/>
        <item x="3"/>
        <item x="2"/>
        <item x="0"/>
        <item t="default"/>
      </items>
    </pivotField>
    <pivotField showAll="0">
      <items count="6">
        <item x="0"/>
        <item x="1"/>
        <item x="4"/>
        <item x="2"/>
        <item x="3"/>
        <item t="default"/>
      </items>
    </pivotField>
    <pivotField showAll="0"/>
    <pivotField showAll="0"/>
    <pivotField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s>
  <rowFields count="1">
    <field x="4"/>
  </rowFields>
  <rowItems count="6">
    <i>
      <x/>
    </i>
    <i>
      <x v="1"/>
    </i>
    <i>
      <x v="2"/>
    </i>
    <i>
      <x v="3"/>
    </i>
    <i>
      <x v="4"/>
    </i>
    <i t="grand">
      <x/>
    </i>
  </rowItems>
  <colFields count="1">
    <field x="2"/>
  </colFields>
  <colItems count="3">
    <i>
      <x/>
    </i>
    <i>
      <x v="1"/>
    </i>
    <i t="grand">
      <x/>
    </i>
  </colItems>
  <dataFields count="1">
    <dataField name="Count of Full Name" fld="1" subtotal="count" baseField="0" baseItem="0"/>
  </dataFields>
  <chartFormats count="2">
    <chartFormat chart="3" format="4" series="1">
      <pivotArea type="data" outline="0" fieldPosition="0">
        <references count="2">
          <reference field="4294967294" count="1" selected="0">
            <x v="0"/>
          </reference>
          <reference field="2" count="1" selected="0">
            <x v="0"/>
          </reference>
        </references>
      </pivotArea>
    </chartFormat>
    <chartFormat chart="3"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4BE19-E5EE-4C4D-93EE-7C0F0EEFDA37}" name="salaries"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3:H9" firstHeaderRow="0" firstDataRow="1" firstDataCol="1"/>
  <pivotFields count="21">
    <pivotField showAll="0"/>
    <pivotField showAll="0">
      <items count="50">
        <item x="43"/>
        <item x="46"/>
        <item x="4"/>
        <item x="11"/>
        <item x="8"/>
        <item x="23"/>
        <item x="39"/>
        <item x="6"/>
        <item x="36"/>
        <item x="38"/>
        <item x="5"/>
        <item x="45"/>
        <item x="15"/>
        <item x="12"/>
        <item x="7"/>
        <item x="22"/>
        <item x="19"/>
        <item x="16"/>
        <item x="41"/>
        <item x="1"/>
        <item x="28"/>
        <item x="2"/>
        <item x="40"/>
        <item x="14"/>
        <item x="26"/>
        <item x="18"/>
        <item x="3"/>
        <item x="0"/>
        <item x="9"/>
        <item x="29"/>
        <item x="32"/>
        <item x="31"/>
        <item x="21"/>
        <item x="10"/>
        <item x="25"/>
        <item x="48"/>
        <item x="20"/>
        <item x="33"/>
        <item x="47"/>
        <item x="27"/>
        <item x="44"/>
        <item x="30"/>
        <item x="34"/>
        <item x="13"/>
        <item x="17"/>
        <item x="35"/>
        <item x="37"/>
        <item x="42"/>
        <item x="24"/>
        <item t="default"/>
      </items>
    </pivotField>
    <pivotField showAll="0">
      <items count="3">
        <item x="0"/>
        <item x="1"/>
        <item t="default"/>
      </items>
    </pivotField>
    <pivotField showAll="0"/>
    <pivotField showAll="0"/>
    <pivotField showAll="0"/>
    <pivotField axis="axisRow" showAll="0">
      <items count="6">
        <item x="4"/>
        <item x="1"/>
        <item x="3"/>
        <item x="2"/>
        <item x="0"/>
        <item t="default"/>
      </items>
    </pivotField>
    <pivotField showAll="0">
      <items count="6">
        <item x="0"/>
        <item x="1"/>
        <item x="4"/>
        <item x="2"/>
        <item x="3"/>
        <item t="default"/>
      </items>
    </pivotField>
    <pivotField showAll="0"/>
    <pivotField showAll="0"/>
    <pivotField showAll="0">
      <items count="4">
        <item x="1"/>
        <item x="0"/>
        <item x="2"/>
        <item t="default"/>
      </items>
    </pivotField>
    <pivotField showAll="0"/>
    <pivotField dataField="1" showAll="0"/>
    <pivotField showAll="0"/>
    <pivotField showAll="0"/>
    <pivotField showAll="0"/>
    <pivotField dataField="1" showAll="0"/>
    <pivotField showAll="0"/>
    <pivotField showAll="0"/>
    <pivotField showAll="0"/>
    <pivotField showAll="0"/>
  </pivotFields>
  <rowFields count="1">
    <field x="6"/>
  </rowFields>
  <rowItems count="6">
    <i>
      <x/>
    </i>
    <i>
      <x v="1"/>
    </i>
    <i>
      <x v="2"/>
    </i>
    <i>
      <x v="3"/>
    </i>
    <i>
      <x v="4"/>
    </i>
    <i t="grand">
      <x/>
    </i>
  </rowItems>
  <colFields count="1">
    <field x="-2"/>
  </colFields>
  <colItems count="2">
    <i>
      <x/>
    </i>
    <i i="1">
      <x v="1"/>
    </i>
  </colItems>
  <dataFields count="2">
    <dataField name="Sum of Salary" fld="12" baseField="0" baseItem="0"/>
    <dataField name="Sum of Leave Taken" fld="1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018CDE8-DFBE-41CD-A27F-A9D7BFE2CB8F}" name="employment status"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21">
    <pivotField showAll="0"/>
    <pivotField dataField="1" showAll="0">
      <items count="50">
        <item x="43"/>
        <item x="46"/>
        <item x="4"/>
        <item x="11"/>
        <item x="8"/>
        <item x="23"/>
        <item x="39"/>
        <item x="6"/>
        <item x="36"/>
        <item x="38"/>
        <item x="5"/>
        <item x="45"/>
        <item x="15"/>
        <item x="12"/>
        <item x="7"/>
        <item x="22"/>
        <item x="19"/>
        <item x="16"/>
        <item x="41"/>
        <item x="1"/>
        <item x="28"/>
        <item x="2"/>
        <item x="40"/>
        <item x="14"/>
        <item x="26"/>
        <item x="18"/>
        <item x="3"/>
        <item x="0"/>
        <item x="9"/>
        <item x="29"/>
        <item x="32"/>
        <item x="31"/>
        <item x="21"/>
        <item x="10"/>
        <item x="25"/>
        <item x="48"/>
        <item x="20"/>
        <item x="33"/>
        <item x="47"/>
        <item x="27"/>
        <item x="44"/>
        <item x="30"/>
        <item x="34"/>
        <item x="13"/>
        <item x="17"/>
        <item x="35"/>
        <item x="37"/>
        <item x="42"/>
        <item x="24"/>
        <item t="default"/>
      </items>
    </pivotField>
    <pivotField showAll="0">
      <items count="3">
        <item x="0"/>
        <item x="1"/>
        <item t="default"/>
      </items>
    </pivotField>
    <pivotField showAll="0"/>
    <pivotField showAll="0"/>
    <pivotField showAll="0"/>
    <pivotField showAll="0"/>
    <pivotField showAll="0">
      <items count="6">
        <item x="0"/>
        <item x="1"/>
        <item x="4"/>
        <item x="2"/>
        <item x="3"/>
        <item t="default"/>
      </items>
    </pivotField>
    <pivotField showAll="0"/>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s>
  <rowFields count="1">
    <field x="10"/>
  </rowFields>
  <rowItems count="4">
    <i>
      <x/>
    </i>
    <i>
      <x v="1"/>
    </i>
    <i>
      <x v="2"/>
    </i>
    <i t="grand">
      <x/>
    </i>
  </rowItems>
  <colItems count="1">
    <i/>
  </colItems>
  <dataFields count="1">
    <dataField name="Count of Full Name"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13AD6B65-BCFB-454E-9DCA-255D40CE0AFF}" sourceName="Gender">
  <pivotTables>
    <pivotTable tabId="5" name="gender"/>
    <pivotTable tabId="5" name="department"/>
    <pivotTable tabId="5" name="employment status"/>
    <pivotTable tabId="5" name="salaries"/>
    <pivotTable tabId="5" name="skills"/>
    <pivotTable tabId="5" name="work place"/>
  </pivotTables>
  <data>
    <tabular pivotCacheId="766127319">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A9DE3EE9-B4A1-471A-A065-7E1CF687D189}" sourceName="Department">
  <pivotTables>
    <pivotTable tabId="5" name="gender"/>
    <pivotTable tabId="5" name="department"/>
    <pivotTable tabId="5" name="employment status"/>
    <pivotTable tabId="5" name="salaries"/>
    <pivotTable tabId="5" name="skills"/>
    <pivotTable tabId="5" name="work place"/>
    <pivotTable tabId="5" name="PivotTable32"/>
  </pivotTables>
  <data>
    <tabular pivotCacheId="766127319">
      <items count="5">
        <i x="0" s="1"/>
        <i x="1" s="1"/>
        <i x="4"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B1E5966F-45F9-4A51-AE33-924DF7D77DFF}" cache="Slicer_Gender" caption="Gender" columnCount="2" style="Slicer Style 3" rowHeight="247650"/>
  <slicer name="Department 1" xr10:uid="{0059C15C-E0FF-40BC-8B33-10E7B2DD11EE}" cache="Slicer_Department" caption="Department" columnCount="3" style="Slicer Style 3"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D7F130C-4931-4EC9-8AE2-A64F6556D3A3}" name="Table1" displayName="Table1" ref="A1:U51" totalsRowShown="0" headerRowDxfId="68" dataDxfId="67">
  <autoFilter ref="A1:U51" xr:uid="{BD7F130C-4931-4EC9-8AE2-A64F6556D3A3}"/>
  <tableColumns count="21">
    <tableColumn id="1" xr3:uid="{6BDBB43D-1DF4-4FF3-9C56-0E3D699A83FC}" name="Employee ID" dataDxfId="66"/>
    <tableColumn id="2" xr3:uid="{363D91B7-21AD-4B4B-86DE-95D24769EAA5}" name="Full Name" dataDxfId="65"/>
    <tableColumn id="3" xr3:uid="{728245EC-9766-45F5-9851-7FEFEFBE2652}" name="Gender" dataDxfId="64"/>
    <tableColumn id="4" xr3:uid="{DD8A90D1-163F-4B0E-A039-9E7A16AFC106}" name="Age" dataDxfId="63"/>
    <tableColumn id="5" xr3:uid="{0672993B-A00D-49AE-84B7-674089468A17}" name="Age range" dataDxfId="62"/>
    <tableColumn id="6" xr3:uid="{B1ADEE80-60F1-4EE3-B3FB-8484EE6C17B3}" name="Region" dataDxfId="61"/>
    <tableColumn id="7" xr3:uid="{8E0A56EE-3456-4513-ADA0-27F6CAA8C17B}" name="Job Title" dataDxfId="60"/>
    <tableColumn id="8" xr3:uid="{0D9D5DB9-01CB-4300-B0CD-256901621ADC}" name="Department" dataDxfId="59"/>
    <tableColumn id="9" xr3:uid="{9EBDAC3F-6A39-4A78-B562-848691EE3AD1}" name="Manager/Supervisor" dataDxfId="58"/>
    <tableColumn id="10" xr3:uid="{AF849F24-150A-4123-B3F8-A46B4D4F7BC6}" name="Date of Hire" dataDxfId="57"/>
    <tableColumn id="11" xr3:uid="{8C57202E-334A-462A-9C44-E5E2468122E4}" name="Employment Status" dataDxfId="56"/>
    <tableColumn id="12" xr3:uid="{8A07812C-245C-4D55-A210-3AE7E0BB84EB}" name="Work Location" dataDxfId="55"/>
    <tableColumn id="13" xr3:uid="{6441036C-01DD-4130-8E4B-DBA441BCB744}" name="Salary" dataDxfId="54"/>
    <tableColumn id="14" xr3:uid="{ADCF531A-A98E-422C-939D-04D58C2423FB}" name="Pay Grade" dataDxfId="53"/>
    <tableColumn id="15" xr3:uid="{DE922695-AE31-4F31-8F89-61E6E7E646AB}" name="Bonus/Allowances" dataDxfId="52"/>
    <tableColumn id="16" xr3:uid="{62F2B816-9954-4A01-AEDC-4C13B3A2A52F}" name="Insurance Details" dataDxfId="51"/>
    <tableColumn id="17" xr3:uid="{6EFEC335-9B75-45D5-B403-A8A9E557BE24}" name="Leave Taken" dataDxfId="50"/>
    <tableColumn id="18" xr3:uid="{9DA1B78E-154E-42E4-A1BC-FE1CF363DCBA}" name="Performance Rating" dataDxfId="49"/>
    <tableColumn id="19" xr3:uid="{7E4B5E79-5639-4E3A-91A1-D1D8767BB705}" name="Training Programs Attended" dataDxfId="48"/>
    <tableColumn id="20" xr3:uid="{2E731344-8C6D-4001-9E36-F16B80500F61}" name="Skills" dataDxfId="47"/>
    <tableColumn id="21" xr3:uid="{9DCE550B-F788-4423-B330-CAB70C041DFC}" name="Certifications" dataDxfId="46"/>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DDBEA-0C7D-4729-B9B7-DD33FC9EA67D}">
  <dimension ref="A1:U51"/>
  <sheetViews>
    <sheetView workbookViewId="0">
      <selection activeCell="E26" sqref="E26"/>
    </sheetView>
  </sheetViews>
  <sheetFormatPr defaultColWidth="9.109375" defaultRowHeight="13.8"/>
  <cols>
    <col min="1" max="1" width="17.6640625" style="2" bestFit="1" customWidth="1"/>
    <col min="2" max="2" width="18.109375" style="2" bestFit="1" customWidth="1"/>
    <col min="3" max="3" width="12.88671875" style="2" bestFit="1" customWidth="1"/>
    <col min="4" max="4" width="9.5546875" style="2" bestFit="1" customWidth="1"/>
    <col min="5" max="5" width="15.88671875" style="2" bestFit="1" customWidth="1"/>
    <col min="6" max="6" width="12.33203125" style="2" bestFit="1" customWidth="1"/>
    <col min="7" max="7" width="14.109375" style="2" bestFit="1" customWidth="1"/>
    <col min="8" max="8" width="17.44140625" style="2" bestFit="1" customWidth="1"/>
    <col min="9" max="9" width="25.6640625" style="2" bestFit="1" customWidth="1"/>
    <col min="10" max="10" width="18" style="2" bestFit="1" customWidth="1"/>
    <col min="11" max="11" width="25" style="2" bestFit="1" customWidth="1"/>
    <col min="12" max="12" width="20.33203125" style="2" bestFit="1" customWidth="1"/>
    <col min="13" max="13" width="11.88671875" style="2" bestFit="1" customWidth="1"/>
    <col min="14" max="14" width="16.109375" style="2" bestFit="1" customWidth="1"/>
    <col min="15" max="15" width="24" style="2" bestFit="1" customWidth="1"/>
    <col min="16" max="16" width="22.6640625" style="2" bestFit="1" customWidth="1"/>
    <col min="17" max="17" width="18.109375" style="2" bestFit="1" customWidth="1"/>
    <col min="18" max="18" width="25.44140625" style="2" bestFit="1" customWidth="1"/>
    <col min="19" max="19" width="34" style="2" bestFit="1" customWidth="1"/>
    <col min="20" max="20" width="16" style="2" bestFit="1" customWidth="1"/>
    <col min="21" max="21" width="21.109375" style="2" bestFit="1" customWidth="1"/>
    <col min="22" max="16384" width="9.109375" style="2"/>
  </cols>
  <sheetData>
    <row r="1" spans="1:21" ht="43.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c r="A2" s="3">
        <v>4294</v>
      </c>
      <c r="B2" s="3" t="s">
        <v>21</v>
      </c>
      <c r="C2" s="3" t="s">
        <v>22</v>
      </c>
      <c r="D2" s="3">
        <v>25</v>
      </c>
      <c r="E2" s="3" t="s">
        <v>23</v>
      </c>
      <c r="F2" s="3" t="s">
        <v>24</v>
      </c>
      <c r="G2" s="3" t="s">
        <v>25</v>
      </c>
      <c r="H2" s="3" t="s">
        <v>26</v>
      </c>
      <c r="I2" s="3" t="s">
        <v>27</v>
      </c>
      <c r="J2" s="3" t="s">
        <v>28</v>
      </c>
      <c r="K2" s="3" t="s">
        <v>29</v>
      </c>
      <c r="L2" s="3" t="s">
        <v>30</v>
      </c>
      <c r="M2" s="3">
        <v>53700</v>
      </c>
      <c r="N2" s="3" t="s">
        <v>31</v>
      </c>
      <c r="O2" s="3">
        <v>1463</v>
      </c>
      <c r="P2" s="3" t="s">
        <v>32</v>
      </c>
      <c r="Q2" s="3">
        <v>1</v>
      </c>
      <c r="R2" s="3">
        <v>1</v>
      </c>
      <c r="S2" s="3" t="s">
        <v>33</v>
      </c>
      <c r="T2" s="3" t="s">
        <v>34</v>
      </c>
      <c r="U2" s="3" t="s">
        <v>35</v>
      </c>
    </row>
    <row r="3" spans="1:21">
      <c r="A3" s="3">
        <v>9116</v>
      </c>
      <c r="B3" s="3" t="s">
        <v>36</v>
      </c>
      <c r="C3" s="3" t="s">
        <v>37</v>
      </c>
      <c r="D3" s="3">
        <v>27</v>
      </c>
      <c r="E3" s="3" t="s">
        <v>38</v>
      </c>
      <c r="F3" s="3" t="s">
        <v>39</v>
      </c>
      <c r="G3" s="3" t="s">
        <v>40</v>
      </c>
      <c r="H3" s="3" t="s">
        <v>41</v>
      </c>
      <c r="I3" s="3" t="s">
        <v>42</v>
      </c>
      <c r="J3" s="3" t="s">
        <v>43</v>
      </c>
      <c r="K3" s="3" t="s">
        <v>29</v>
      </c>
      <c r="L3" s="3" t="s">
        <v>44</v>
      </c>
      <c r="M3" s="3">
        <v>91091</v>
      </c>
      <c r="N3" s="3" t="s">
        <v>45</v>
      </c>
      <c r="O3" s="3">
        <v>1024</v>
      </c>
      <c r="P3" s="3" t="s">
        <v>46</v>
      </c>
      <c r="Q3" s="3">
        <v>19</v>
      </c>
      <c r="R3" s="3">
        <v>4</v>
      </c>
      <c r="S3" s="3" t="s">
        <v>47</v>
      </c>
      <c r="T3" s="3" t="s">
        <v>34</v>
      </c>
      <c r="U3" s="3" t="s">
        <v>35</v>
      </c>
    </row>
    <row r="4" spans="1:21">
      <c r="A4" s="3">
        <v>5120</v>
      </c>
      <c r="B4" s="3" t="s">
        <v>48</v>
      </c>
      <c r="C4" s="3" t="s">
        <v>37</v>
      </c>
      <c r="D4" s="3">
        <v>34</v>
      </c>
      <c r="E4" s="3" t="s">
        <v>38</v>
      </c>
      <c r="F4" s="3" t="s">
        <v>49</v>
      </c>
      <c r="G4" s="3" t="s">
        <v>50</v>
      </c>
      <c r="H4" s="3" t="s">
        <v>51</v>
      </c>
      <c r="I4" s="3" t="s">
        <v>52</v>
      </c>
      <c r="J4" s="3" t="s">
        <v>53</v>
      </c>
      <c r="K4" s="3" t="s">
        <v>29</v>
      </c>
      <c r="L4" s="3" t="s">
        <v>54</v>
      </c>
      <c r="M4" s="3">
        <v>57538</v>
      </c>
      <c r="N4" s="3" t="s">
        <v>55</v>
      </c>
      <c r="O4" s="3">
        <v>1674</v>
      </c>
      <c r="P4" s="3" t="s">
        <v>46</v>
      </c>
      <c r="Q4" s="3">
        <v>8</v>
      </c>
      <c r="R4" s="3">
        <v>1</v>
      </c>
      <c r="S4" s="3" t="s">
        <v>46</v>
      </c>
      <c r="T4" s="3" t="s">
        <v>56</v>
      </c>
      <c r="U4" s="3" t="s">
        <v>57</v>
      </c>
    </row>
    <row r="5" spans="1:21">
      <c r="A5" s="3">
        <v>8071</v>
      </c>
      <c r="B5" s="3" t="s">
        <v>58</v>
      </c>
      <c r="C5" s="3" t="s">
        <v>22</v>
      </c>
      <c r="D5" s="3">
        <v>41</v>
      </c>
      <c r="E5" s="3" t="s">
        <v>59</v>
      </c>
      <c r="F5" s="3" t="s">
        <v>49</v>
      </c>
      <c r="G5" s="3" t="s">
        <v>25</v>
      </c>
      <c r="H5" s="3" t="s">
        <v>60</v>
      </c>
      <c r="I5" s="3" t="s">
        <v>61</v>
      </c>
      <c r="J5" s="3" t="s">
        <v>62</v>
      </c>
      <c r="K5" s="3" t="s">
        <v>63</v>
      </c>
      <c r="L5" s="3" t="s">
        <v>30</v>
      </c>
      <c r="M5" s="3">
        <v>62993</v>
      </c>
      <c r="N5" s="3" t="s">
        <v>64</v>
      </c>
      <c r="O5" s="3">
        <v>2695</v>
      </c>
      <c r="P5" s="3" t="s">
        <v>65</v>
      </c>
      <c r="Q5" s="3">
        <v>0</v>
      </c>
      <c r="R5" s="3">
        <v>2</v>
      </c>
      <c r="S5" s="3" t="s">
        <v>46</v>
      </c>
      <c r="T5" s="3" t="s">
        <v>66</v>
      </c>
      <c r="U5" s="3" t="s">
        <v>46</v>
      </c>
    </row>
    <row r="6" spans="1:21">
      <c r="A6" s="3">
        <v>9351</v>
      </c>
      <c r="B6" s="3" t="s">
        <v>67</v>
      </c>
      <c r="C6" s="3" t="s">
        <v>37</v>
      </c>
      <c r="D6" s="3">
        <v>56</v>
      </c>
      <c r="E6" s="3" t="s">
        <v>68</v>
      </c>
      <c r="F6" s="3" t="s">
        <v>24</v>
      </c>
      <c r="G6" s="3" t="s">
        <v>25</v>
      </c>
      <c r="H6" s="3" t="s">
        <v>51</v>
      </c>
      <c r="I6" s="3" t="s">
        <v>69</v>
      </c>
      <c r="J6" s="3" t="s">
        <v>70</v>
      </c>
      <c r="K6" s="3" t="s">
        <v>63</v>
      </c>
      <c r="L6" s="3" t="s">
        <v>44</v>
      </c>
      <c r="M6" s="3">
        <v>45773</v>
      </c>
      <c r="N6" s="3" t="s">
        <v>64</v>
      </c>
      <c r="O6" s="3">
        <v>8776</v>
      </c>
      <c r="P6" s="3" t="s">
        <v>32</v>
      </c>
      <c r="Q6" s="3">
        <v>16</v>
      </c>
      <c r="R6" s="3">
        <v>4</v>
      </c>
      <c r="S6" s="3" t="s">
        <v>33</v>
      </c>
      <c r="T6" s="3" t="s">
        <v>66</v>
      </c>
      <c r="U6" s="3" t="s">
        <v>46</v>
      </c>
    </row>
    <row r="7" spans="1:21">
      <c r="A7" s="3">
        <v>2873</v>
      </c>
      <c r="B7" s="3" t="s">
        <v>71</v>
      </c>
      <c r="C7" s="3" t="s">
        <v>22</v>
      </c>
      <c r="D7" s="3">
        <v>28</v>
      </c>
      <c r="E7" s="3" t="s">
        <v>38</v>
      </c>
      <c r="F7" s="3" t="s">
        <v>49</v>
      </c>
      <c r="G7" s="3" t="s">
        <v>72</v>
      </c>
      <c r="H7" s="3" t="s">
        <v>51</v>
      </c>
      <c r="I7" s="3" t="s">
        <v>73</v>
      </c>
      <c r="J7" s="3" t="s">
        <v>74</v>
      </c>
      <c r="K7" s="3" t="s">
        <v>29</v>
      </c>
      <c r="L7" s="3" t="s">
        <v>44</v>
      </c>
      <c r="M7" s="3">
        <v>96249</v>
      </c>
      <c r="N7" s="3" t="s">
        <v>31</v>
      </c>
      <c r="O7" s="3">
        <v>4826</v>
      </c>
      <c r="P7" s="3" t="s">
        <v>65</v>
      </c>
      <c r="Q7" s="3">
        <v>7</v>
      </c>
      <c r="R7" s="3">
        <v>3</v>
      </c>
      <c r="S7" s="3" t="s">
        <v>33</v>
      </c>
      <c r="T7" s="3" t="s">
        <v>75</v>
      </c>
      <c r="U7" s="3" t="s">
        <v>35</v>
      </c>
    </row>
    <row r="8" spans="1:21">
      <c r="A8" s="3">
        <v>3540</v>
      </c>
      <c r="B8" s="3" t="s">
        <v>76</v>
      </c>
      <c r="C8" s="3" t="s">
        <v>22</v>
      </c>
      <c r="D8" s="3">
        <v>20</v>
      </c>
      <c r="E8" s="3" t="s">
        <v>23</v>
      </c>
      <c r="F8" s="3" t="s">
        <v>39</v>
      </c>
      <c r="G8" s="3" t="s">
        <v>50</v>
      </c>
      <c r="H8" s="3" t="s">
        <v>51</v>
      </c>
      <c r="I8" s="3" t="s">
        <v>77</v>
      </c>
      <c r="J8" s="3" t="s">
        <v>78</v>
      </c>
      <c r="K8" s="3" t="s">
        <v>29</v>
      </c>
      <c r="L8" s="3" t="s">
        <v>54</v>
      </c>
      <c r="M8" s="3">
        <v>61596</v>
      </c>
      <c r="N8" s="3" t="s">
        <v>31</v>
      </c>
      <c r="O8" s="3">
        <v>8818</v>
      </c>
      <c r="P8" s="3" t="s">
        <v>65</v>
      </c>
      <c r="Q8" s="3">
        <v>4</v>
      </c>
      <c r="R8" s="3">
        <v>2</v>
      </c>
      <c r="S8" s="3" t="s">
        <v>33</v>
      </c>
      <c r="T8" s="3" t="s">
        <v>56</v>
      </c>
      <c r="U8" s="3" t="s">
        <v>46</v>
      </c>
    </row>
    <row r="9" spans="1:21">
      <c r="A9" s="3">
        <v>3653</v>
      </c>
      <c r="B9" s="3" t="s">
        <v>79</v>
      </c>
      <c r="C9" s="3" t="s">
        <v>22</v>
      </c>
      <c r="D9" s="3">
        <v>58</v>
      </c>
      <c r="E9" s="3" t="s">
        <v>68</v>
      </c>
      <c r="F9" s="3" t="s">
        <v>80</v>
      </c>
      <c r="G9" s="3" t="s">
        <v>40</v>
      </c>
      <c r="H9" s="3" t="s">
        <v>81</v>
      </c>
      <c r="I9" s="3" t="s">
        <v>82</v>
      </c>
      <c r="J9" s="3" t="s">
        <v>83</v>
      </c>
      <c r="K9" s="3" t="s">
        <v>29</v>
      </c>
      <c r="L9" s="3" t="s">
        <v>54</v>
      </c>
      <c r="M9" s="3">
        <v>97869</v>
      </c>
      <c r="N9" s="3" t="s">
        <v>64</v>
      </c>
      <c r="O9" s="3">
        <v>1966</v>
      </c>
      <c r="P9" s="3" t="s">
        <v>32</v>
      </c>
      <c r="Q9" s="3">
        <v>10</v>
      </c>
      <c r="R9" s="3">
        <v>1</v>
      </c>
      <c r="S9" s="3" t="s">
        <v>33</v>
      </c>
      <c r="T9" s="3" t="s">
        <v>34</v>
      </c>
      <c r="U9" s="3" t="s">
        <v>35</v>
      </c>
    </row>
    <row r="10" spans="1:21">
      <c r="A10" s="3">
        <v>5587</v>
      </c>
      <c r="B10" s="3" t="s">
        <v>84</v>
      </c>
      <c r="C10" s="3" t="s">
        <v>22</v>
      </c>
      <c r="D10" s="3">
        <v>44</v>
      </c>
      <c r="E10" s="3" t="s">
        <v>59</v>
      </c>
      <c r="F10" s="3" t="s">
        <v>80</v>
      </c>
      <c r="G10" s="3" t="s">
        <v>50</v>
      </c>
      <c r="H10" s="3" t="s">
        <v>51</v>
      </c>
      <c r="I10" s="3" t="s">
        <v>85</v>
      </c>
      <c r="J10" s="3" t="s">
        <v>86</v>
      </c>
      <c r="K10" s="3" t="s">
        <v>29</v>
      </c>
      <c r="L10" s="3" t="s">
        <v>30</v>
      </c>
      <c r="M10" s="3">
        <v>81235</v>
      </c>
      <c r="N10" s="3" t="s">
        <v>64</v>
      </c>
      <c r="O10" s="3">
        <v>6553</v>
      </c>
      <c r="P10" s="3" t="s">
        <v>46</v>
      </c>
      <c r="Q10" s="3">
        <v>16</v>
      </c>
      <c r="R10" s="3">
        <v>2</v>
      </c>
      <c r="S10" s="3" t="s">
        <v>46</v>
      </c>
      <c r="T10" s="3" t="s">
        <v>56</v>
      </c>
      <c r="U10" s="3" t="s">
        <v>35</v>
      </c>
    </row>
    <row r="11" spans="1:21">
      <c r="A11" s="3">
        <v>9554</v>
      </c>
      <c r="B11" s="3" t="s">
        <v>87</v>
      </c>
      <c r="C11" s="3" t="s">
        <v>22</v>
      </c>
      <c r="D11" s="3">
        <v>29</v>
      </c>
      <c r="E11" s="3" t="s">
        <v>38</v>
      </c>
      <c r="F11" s="3" t="s">
        <v>39</v>
      </c>
      <c r="G11" s="3" t="s">
        <v>50</v>
      </c>
      <c r="H11" s="3" t="s">
        <v>60</v>
      </c>
      <c r="I11" s="3" t="s">
        <v>88</v>
      </c>
      <c r="J11" s="3" t="s">
        <v>89</v>
      </c>
      <c r="K11" s="3" t="s">
        <v>29</v>
      </c>
      <c r="L11" s="3" t="s">
        <v>44</v>
      </c>
      <c r="M11" s="3">
        <v>87852</v>
      </c>
      <c r="N11" s="3" t="s">
        <v>64</v>
      </c>
      <c r="O11" s="3">
        <v>4980</v>
      </c>
      <c r="P11" s="3" t="s">
        <v>65</v>
      </c>
      <c r="Q11" s="3">
        <v>19</v>
      </c>
      <c r="R11" s="3">
        <v>3</v>
      </c>
      <c r="S11" s="3" t="s">
        <v>46</v>
      </c>
      <c r="T11" s="3" t="s">
        <v>66</v>
      </c>
      <c r="U11" s="3" t="s">
        <v>35</v>
      </c>
    </row>
    <row r="12" spans="1:21">
      <c r="A12" s="3">
        <v>6213</v>
      </c>
      <c r="B12" s="3" t="s">
        <v>90</v>
      </c>
      <c r="C12" s="3" t="s">
        <v>37</v>
      </c>
      <c r="D12" s="3">
        <v>23</v>
      </c>
      <c r="E12" s="3" t="s">
        <v>23</v>
      </c>
      <c r="F12" s="3" t="s">
        <v>80</v>
      </c>
      <c r="G12" s="3" t="s">
        <v>25</v>
      </c>
      <c r="H12" s="3" t="s">
        <v>51</v>
      </c>
      <c r="I12" s="3" t="s">
        <v>91</v>
      </c>
      <c r="J12" s="3" t="s">
        <v>92</v>
      </c>
      <c r="K12" s="3" t="s">
        <v>63</v>
      </c>
      <c r="L12" s="3" t="s">
        <v>44</v>
      </c>
      <c r="M12" s="3">
        <v>59359</v>
      </c>
      <c r="N12" s="3" t="s">
        <v>64</v>
      </c>
      <c r="O12" s="3">
        <v>9449</v>
      </c>
      <c r="P12" s="3" t="s">
        <v>65</v>
      </c>
      <c r="Q12" s="3">
        <v>20</v>
      </c>
      <c r="R12" s="3">
        <v>3</v>
      </c>
      <c r="S12" s="3" t="s">
        <v>46</v>
      </c>
      <c r="T12" s="3" t="s">
        <v>56</v>
      </c>
      <c r="U12" s="3" t="s">
        <v>46</v>
      </c>
    </row>
    <row r="13" spans="1:21">
      <c r="A13" s="3">
        <v>9105</v>
      </c>
      <c r="B13" s="3" t="s">
        <v>93</v>
      </c>
      <c r="C13" s="3" t="s">
        <v>37</v>
      </c>
      <c r="D13" s="3">
        <v>30</v>
      </c>
      <c r="E13" s="3" t="s">
        <v>38</v>
      </c>
      <c r="F13" s="3" t="s">
        <v>24</v>
      </c>
      <c r="G13" s="3" t="s">
        <v>40</v>
      </c>
      <c r="H13" s="3" t="s">
        <v>26</v>
      </c>
      <c r="I13" s="3" t="s">
        <v>94</v>
      </c>
      <c r="J13" s="3" t="s">
        <v>95</v>
      </c>
      <c r="K13" s="3" t="s">
        <v>63</v>
      </c>
      <c r="L13" s="3" t="s">
        <v>54</v>
      </c>
      <c r="M13" s="3">
        <v>81225</v>
      </c>
      <c r="N13" s="3" t="s">
        <v>55</v>
      </c>
      <c r="O13" s="3">
        <v>6202</v>
      </c>
      <c r="P13" s="3" t="s">
        <v>65</v>
      </c>
      <c r="Q13" s="3">
        <v>2</v>
      </c>
      <c r="R13" s="3">
        <v>2</v>
      </c>
      <c r="S13" s="3" t="s">
        <v>47</v>
      </c>
      <c r="T13" s="3" t="s">
        <v>96</v>
      </c>
      <c r="U13" s="3" t="s">
        <v>35</v>
      </c>
    </row>
    <row r="14" spans="1:21">
      <c r="A14" s="3">
        <v>9508</v>
      </c>
      <c r="B14" s="3" t="s">
        <v>97</v>
      </c>
      <c r="C14" s="3" t="s">
        <v>22</v>
      </c>
      <c r="D14" s="3">
        <v>49</v>
      </c>
      <c r="E14" s="3" t="s">
        <v>98</v>
      </c>
      <c r="F14" s="3" t="s">
        <v>39</v>
      </c>
      <c r="G14" s="3" t="s">
        <v>25</v>
      </c>
      <c r="H14" s="3" t="s">
        <v>26</v>
      </c>
      <c r="I14" s="3" t="s">
        <v>99</v>
      </c>
      <c r="J14" s="3" t="s">
        <v>100</v>
      </c>
      <c r="K14" s="3" t="s">
        <v>63</v>
      </c>
      <c r="L14" s="3" t="s">
        <v>30</v>
      </c>
      <c r="M14" s="3">
        <v>32788</v>
      </c>
      <c r="N14" s="3" t="s">
        <v>55</v>
      </c>
      <c r="O14" s="3">
        <v>4396</v>
      </c>
      <c r="P14" s="3" t="s">
        <v>32</v>
      </c>
      <c r="Q14" s="3">
        <v>13</v>
      </c>
      <c r="R14" s="3">
        <v>5</v>
      </c>
      <c r="S14" s="3" t="s">
        <v>46</v>
      </c>
      <c r="T14" s="3" t="s">
        <v>75</v>
      </c>
      <c r="U14" s="3" t="s">
        <v>57</v>
      </c>
    </row>
    <row r="15" spans="1:21">
      <c r="A15" s="3">
        <v>2436</v>
      </c>
      <c r="B15" s="3" t="s">
        <v>101</v>
      </c>
      <c r="C15" s="3" t="s">
        <v>37</v>
      </c>
      <c r="D15" s="3">
        <v>60</v>
      </c>
      <c r="E15" s="3" t="s">
        <v>68</v>
      </c>
      <c r="F15" s="3" t="s">
        <v>102</v>
      </c>
      <c r="G15" s="3" t="s">
        <v>25</v>
      </c>
      <c r="H15" s="3" t="s">
        <v>60</v>
      </c>
      <c r="I15" s="3" t="s">
        <v>103</v>
      </c>
      <c r="J15" s="3" t="s">
        <v>104</v>
      </c>
      <c r="K15" s="3" t="s">
        <v>63</v>
      </c>
      <c r="L15" s="3" t="s">
        <v>54</v>
      </c>
      <c r="M15" s="3">
        <v>70452</v>
      </c>
      <c r="N15" s="3" t="s">
        <v>55</v>
      </c>
      <c r="O15" s="3">
        <v>9911</v>
      </c>
      <c r="P15" s="3" t="s">
        <v>46</v>
      </c>
      <c r="Q15" s="3">
        <v>2</v>
      </c>
      <c r="R15" s="3">
        <v>1</v>
      </c>
      <c r="S15" s="3" t="s">
        <v>46</v>
      </c>
      <c r="T15" s="3" t="s">
        <v>75</v>
      </c>
      <c r="U15" s="3" t="s">
        <v>35</v>
      </c>
    </row>
    <row r="16" spans="1:21">
      <c r="A16" s="3">
        <v>4441</v>
      </c>
      <c r="B16" s="3" t="s">
        <v>105</v>
      </c>
      <c r="C16" s="3" t="s">
        <v>37</v>
      </c>
      <c r="D16" s="3">
        <v>46</v>
      </c>
      <c r="E16" s="3" t="s">
        <v>98</v>
      </c>
      <c r="F16" s="3" t="s">
        <v>39</v>
      </c>
      <c r="G16" s="3" t="s">
        <v>72</v>
      </c>
      <c r="H16" s="3" t="s">
        <v>26</v>
      </c>
      <c r="I16" s="3" t="s">
        <v>106</v>
      </c>
      <c r="J16" s="3" t="s">
        <v>107</v>
      </c>
      <c r="K16" s="3" t="s">
        <v>29</v>
      </c>
      <c r="L16" s="3" t="s">
        <v>44</v>
      </c>
      <c r="M16" s="3">
        <v>33045</v>
      </c>
      <c r="N16" s="3" t="s">
        <v>45</v>
      </c>
      <c r="O16" s="3">
        <v>1456</v>
      </c>
      <c r="P16" s="3" t="s">
        <v>46</v>
      </c>
      <c r="Q16" s="3">
        <v>16</v>
      </c>
      <c r="R16" s="3">
        <v>3</v>
      </c>
      <c r="S16" s="3" t="s">
        <v>47</v>
      </c>
      <c r="T16" s="3" t="s">
        <v>75</v>
      </c>
      <c r="U16" s="3" t="s">
        <v>46</v>
      </c>
    </row>
    <row r="17" spans="1:21">
      <c r="A17" s="3">
        <v>5827</v>
      </c>
      <c r="B17" s="3" t="s">
        <v>108</v>
      </c>
      <c r="C17" s="3" t="s">
        <v>37</v>
      </c>
      <c r="D17" s="3">
        <v>57</v>
      </c>
      <c r="E17" s="3" t="s">
        <v>68</v>
      </c>
      <c r="F17" s="3" t="s">
        <v>49</v>
      </c>
      <c r="G17" s="3" t="s">
        <v>72</v>
      </c>
      <c r="H17" s="3" t="s">
        <v>41</v>
      </c>
      <c r="I17" s="3" t="s">
        <v>109</v>
      </c>
      <c r="J17" s="3" t="s">
        <v>110</v>
      </c>
      <c r="K17" s="3" t="s">
        <v>111</v>
      </c>
      <c r="L17" s="3" t="s">
        <v>54</v>
      </c>
      <c r="M17" s="3">
        <v>96429</v>
      </c>
      <c r="N17" s="3" t="s">
        <v>31</v>
      </c>
      <c r="O17" s="3">
        <v>4740</v>
      </c>
      <c r="P17" s="3" t="s">
        <v>46</v>
      </c>
      <c r="Q17" s="3">
        <v>8</v>
      </c>
      <c r="R17" s="3">
        <v>1</v>
      </c>
      <c r="S17" s="3" t="s">
        <v>47</v>
      </c>
      <c r="T17" s="3" t="s">
        <v>66</v>
      </c>
      <c r="U17" s="3" t="s">
        <v>46</v>
      </c>
    </row>
    <row r="18" spans="1:21">
      <c r="A18" s="3">
        <v>5184</v>
      </c>
      <c r="B18" s="3" t="s">
        <v>112</v>
      </c>
      <c r="C18" s="3" t="s">
        <v>22</v>
      </c>
      <c r="D18" s="3">
        <v>24</v>
      </c>
      <c r="E18" s="3" t="s">
        <v>23</v>
      </c>
      <c r="F18" s="3" t="s">
        <v>39</v>
      </c>
      <c r="G18" s="3" t="s">
        <v>50</v>
      </c>
      <c r="H18" s="3" t="s">
        <v>51</v>
      </c>
      <c r="I18" s="3" t="s">
        <v>113</v>
      </c>
      <c r="J18" s="3" t="s">
        <v>114</v>
      </c>
      <c r="K18" s="3" t="s">
        <v>111</v>
      </c>
      <c r="L18" s="3" t="s">
        <v>54</v>
      </c>
      <c r="M18" s="3">
        <v>33183</v>
      </c>
      <c r="N18" s="3" t="s">
        <v>64</v>
      </c>
      <c r="O18" s="3">
        <v>8114</v>
      </c>
      <c r="P18" s="3" t="s">
        <v>46</v>
      </c>
      <c r="Q18" s="3">
        <v>4</v>
      </c>
      <c r="R18" s="3">
        <v>2</v>
      </c>
      <c r="S18" s="3" t="s">
        <v>47</v>
      </c>
      <c r="T18" s="3" t="s">
        <v>96</v>
      </c>
      <c r="U18" s="3" t="s">
        <v>57</v>
      </c>
    </row>
    <row r="19" spans="1:21">
      <c r="A19" s="3">
        <v>5874</v>
      </c>
      <c r="B19" s="3" t="s">
        <v>58</v>
      </c>
      <c r="C19" s="3" t="s">
        <v>22</v>
      </c>
      <c r="D19" s="3">
        <v>35</v>
      </c>
      <c r="E19" s="3" t="s">
        <v>38</v>
      </c>
      <c r="F19" s="3" t="s">
        <v>102</v>
      </c>
      <c r="G19" s="3" t="s">
        <v>72</v>
      </c>
      <c r="H19" s="3" t="s">
        <v>26</v>
      </c>
      <c r="I19" s="3" t="s">
        <v>115</v>
      </c>
      <c r="J19" s="3" t="s">
        <v>116</v>
      </c>
      <c r="K19" s="3" t="s">
        <v>111</v>
      </c>
      <c r="L19" s="3" t="s">
        <v>30</v>
      </c>
      <c r="M19" s="3">
        <v>75065</v>
      </c>
      <c r="N19" s="3" t="s">
        <v>31</v>
      </c>
      <c r="O19" s="3">
        <v>7123</v>
      </c>
      <c r="P19" s="3" t="s">
        <v>46</v>
      </c>
      <c r="Q19" s="3">
        <v>20</v>
      </c>
      <c r="R19" s="3">
        <v>2</v>
      </c>
      <c r="S19" s="3" t="s">
        <v>46</v>
      </c>
      <c r="T19" s="3" t="s">
        <v>34</v>
      </c>
      <c r="U19" s="3" t="s">
        <v>57</v>
      </c>
    </row>
    <row r="20" spans="1:21">
      <c r="A20" s="3">
        <v>9834</v>
      </c>
      <c r="B20" s="3" t="s">
        <v>117</v>
      </c>
      <c r="C20" s="3" t="s">
        <v>37</v>
      </c>
      <c r="D20" s="3">
        <v>41</v>
      </c>
      <c r="E20" s="3" t="s">
        <v>59</v>
      </c>
      <c r="F20" s="3" t="s">
        <v>39</v>
      </c>
      <c r="G20" s="3" t="s">
        <v>40</v>
      </c>
      <c r="H20" s="3" t="s">
        <v>81</v>
      </c>
      <c r="I20" s="3" t="s">
        <v>118</v>
      </c>
      <c r="J20" s="3" t="s">
        <v>119</v>
      </c>
      <c r="K20" s="3" t="s">
        <v>29</v>
      </c>
      <c r="L20" s="3" t="s">
        <v>54</v>
      </c>
      <c r="M20" s="3">
        <v>32877</v>
      </c>
      <c r="N20" s="3" t="s">
        <v>31</v>
      </c>
      <c r="O20" s="3">
        <v>6432</v>
      </c>
      <c r="P20" s="3" t="s">
        <v>32</v>
      </c>
      <c r="Q20" s="3">
        <v>11</v>
      </c>
      <c r="R20" s="3">
        <v>1</v>
      </c>
      <c r="S20" s="3" t="s">
        <v>46</v>
      </c>
      <c r="T20" s="3" t="s">
        <v>34</v>
      </c>
      <c r="U20" s="3" t="s">
        <v>46</v>
      </c>
    </row>
    <row r="21" spans="1:21">
      <c r="A21" s="3">
        <v>5096</v>
      </c>
      <c r="B21" s="3" t="s">
        <v>120</v>
      </c>
      <c r="C21" s="3" t="s">
        <v>37</v>
      </c>
      <c r="D21" s="3">
        <v>36</v>
      </c>
      <c r="E21" s="3" t="s">
        <v>59</v>
      </c>
      <c r="F21" s="3" t="s">
        <v>39</v>
      </c>
      <c r="G21" s="3" t="s">
        <v>121</v>
      </c>
      <c r="H21" s="3" t="s">
        <v>60</v>
      </c>
      <c r="I21" s="3" t="s">
        <v>122</v>
      </c>
      <c r="J21" s="3" t="s">
        <v>123</v>
      </c>
      <c r="K21" s="3" t="s">
        <v>29</v>
      </c>
      <c r="L21" s="3" t="s">
        <v>44</v>
      </c>
      <c r="M21" s="3">
        <v>46811</v>
      </c>
      <c r="N21" s="3" t="s">
        <v>55</v>
      </c>
      <c r="O21" s="3">
        <v>1567</v>
      </c>
      <c r="P21" s="3" t="s">
        <v>46</v>
      </c>
      <c r="Q21" s="3">
        <v>7</v>
      </c>
      <c r="R21" s="3">
        <v>3</v>
      </c>
      <c r="S21" s="3" t="s">
        <v>47</v>
      </c>
      <c r="T21" s="3" t="s">
        <v>34</v>
      </c>
      <c r="U21" s="3" t="s">
        <v>57</v>
      </c>
    </row>
    <row r="22" spans="1:21">
      <c r="A22" s="3">
        <v>2263</v>
      </c>
      <c r="B22" s="3" t="s">
        <v>124</v>
      </c>
      <c r="C22" s="3" t="s">
        <v>37</v>
      </c>
      <c r="D22" s="3">
        <v>31</v>
      </c>
      <c r="E22" s="3" t="s">
        <v>38</v>
      </c>
      <c r="F22" s="3" t="s">
        <v>80</v>
      </c>
      <c r="G22" s="3" t="s">
        <v>50</v>
      </c>
      <c r="H22" s="3" t="s">
        <v>41</v>
      </c>
      <c r="I22" s="3" t="s">
        <v>125</v>
      </c>
      <c r="J22" s="3" t="s">
        <v>126</v>
      </c>
      <c r="K22" s="3" t="s">
        <v>63</v>
      </c>
      <c r="L22" s="3" t="s">
        <v>44</v>
      </c>
      <c r="M22" s="3">
        <v>87538</v>
      </c>
      <c r="N22" s="3" t="s">
        <v>31</v>
      </c>
      <c r="O22" s="3">
        <v>3588</v>
      </c>
      <c r="P22" s="3" t="s">
        <v>65</v>
      </c>
      <c r="Q22" s="3">
        <v>11</v>
      </c>
      <c r="R22" s="3">
        <v>5</v>
      </c>
      <c r="S22" s="3" t="s">
        <v>47</v>
      </c>
      <c r="T22" s="3" t="s">
        <v>66</v>
      </c>
      <c r="U22" s="3" t="s">
        <v>46</v>
      </c>
    </row>
    <row r="23" spans="1:21">
      <c r="A23" s="3">
        <v>6505</v>
      </c>
      <c r="B23" s="3" t="s">
        <v>127</v>
      </c>
      <c r="C23" s="3" t="s">
        <v>22</v>
      </c>
      <c r="D23" s="3">
        <v>28</v>
      </c>
      <c r="E23" s="3" t="s">
        <v>38</v>
      </c>
      <c r="F23" s="3" t="s">
        <v>24</v>
      </c>
      <c r="G23" s="3" t="s">
        <v>40</v>
      </c>
      <c r="H23" s="3" t="s">
        <v>81</v>
      </c>
      <c r="I23" s="3" t="s">
        <v>128</v>
      </c>
      <c r="J23" s="3" t="s">
        <v>129</v>
      </c>
      <c r="K23" s="3" t="s">
        <v>29</v>
      </c>
      <c r="L23" s="3" t="s">
        <v>44</v>
      </c>
      <c r="M23" s="3">
        <v>73002</v>
      </c>
      <c r="N23" s="3" t="s">
        <v>31</v>
      </c>
      <c r="O23" s="3">
        <v>6296</v>
      </c>
      <c r="P23" s="3" t="s">
        <v>32</v>
      </c>
      <c r="Q23" s="3">
        <v>2</v>
      </c>
      <c r="R23" s="3">
        <v>5</v>
      </c>
      <c r="S23" s="3" t="s">
        <v>47</v>
      </c>
      <c r="T23" s="3" t="s">
        <v>56</v>
      </c>
      <c r="U23" s="3" t="s">
        <v>35</v>
      </c>
    </row>
    <row r="24" spans="1:21">
      <c r="A24" s="3">
        <v>8626</v>
      </c>
      <c r="B24" s="3" t="s">
        <v>130</v>
      </c>
      <c r="C24" s="3" t="s">
        <v>37</v>
      </c>
      <c r="D24" s="3">
        <v>37</v>
      </c>
      <c r="E24" s="3" t="s">
        <v>59</v>
      </c>
      <c r="F24" s="3" t="s">
        <v>80</v>
      </c>
      <c r="G24" s="3" t="s">
        <v>40</v>
      </c>
      <c r="H24" s="3" t="s">
        <v>60</v>
      </c>
      <c r="I24" s="3" t="s">
        <v>131</v>
      </c>
      <c r="J24" s="3" t="s">
        <v>132</v>
      </c>
      <c r="K24" s="3" t="s">
        <v>111</v>
      </c>
      <c r="L24" s="3" t="s">
        <v>54</v>
      </c>
      <c r="M24" s="3">
        <v>41653</v>
      </c>
      <c r="N24" s="3" t="s">
        <v>55</v>
      </c>
      <c r="O24" s="3">
        <v>9236</v>
      </c>
      <c r="P24" s="3" t="s">
        <v>46</v>
      </c>
      <c r="Q24" s="3">
        <v>13</v>
      </c>
      <c r="R24" s="3">
        <v>1</v>
      </c>
      <c r="S24" s="3" t="s">
        <v>47</v>
      </c>
      <c r="T24" s="3" t="s">
        <v>34</v>
      </c>
      <c r="U24" s="3" t="s">
        <v>46</v>
      </c>
    </row>
    <row r="25" spans="1:21">
      <c r="A25" s="3">
        <v>5979</v>
      </c>
      <c r="B25" s="3" t="s">
        <v>133</v>
      </c>
      <c r="C25" s="3" t="s">
        <v>22</v>
      </c>
      <c r="D25" s="3">
        <v>31</v>
      </c>
      <c r="E25" s="3" t="s">
        <v>38</v>
      </c>
      <c r="F25" s="3" t="s">
        <v>24</v>
      </c>
      <c r="G25" s="3" t="s">
        <v>25</v>
      </c>
      <c r="H25" s="3" t="s">
        <v>51</v>
      </c>
      <c r="I25" s="3" t="s">
        <v>134</v>
      </c>
      <c r="J25" s="3" t="s">
        <v>135</v>
      </c>
      <c r="K25" s="3" t="s">
        <v>63</v>
      </c>
      <c r="L25" s="3" t="s">
        <v>44</v>
      </c>
      <c r="M25" s="3">
        <v>67582</v>
      </c>
      <c r="N25" s="3" t="s">
        <v>64</v>
      </c>
      <c r="O25" s="3">
        <v>1375</v>
      </c>
      <c r="P25" s="3" t="s">
        <v>32</v>
      </c>
      <c r="Q25" s="3">
        <v>20</v>
      </c>
      <c r="R25" s="3">
        <v>3</v>
      </c>
      <c r="S25" s="3" t="s">
        <v>47</v>
      </c>
      <c r="T25" s="3" t="s">
        <v>56</v>
      </c>
      <c r="U25" s="3" t="s">
        <v>46</v>
      </c>
    </row>
    <row r="26" spans="1:21">
      <c r="A26" s="3">
        <v>3104</v>
      </c>
      <c r="B26" s="3" t="s">
        <v>136</v>
      </c>
      <c r="C26" s="3" t="s">
        <v>22</v>
      </c>
      <c r="D26" s="3">
        <v>23</v>
      </c>
      <c r="E26" s="3" t="s">
        <v>23</v>
      </c>
      <c r="F26" s="3" t="s">
        <v>80</v>
      </c>
      <c r="G26" s="3" t="s">
        <v>40</v>
      </c>
      <c r="H26" s="3" t="s">
        <v>41</v>
      </c>
      <c r="I26" s="3" t="s">
        <v>137</v>
      </c>
      <c r="J26" s="3" t="s">
        <v>138</v>
      </c>
      <c r="K26" s="3" t="s">
        <v>111</v>
      </c>
      <c r="L26" s="3" t="s">
        <v>44</v>
      </c>
      <c r="M26" s="3">
        <v>37351</v>
      </c>
      <c r="N26" s="3" t="s">
        <v>55</v>
      </c>
      <c r="O26" s="3">
        <v>7858</v>
      </c>
      <c r="P26" s="3" t="s">
        <v>65</v>
      </c>
      <c r="Q26" s="3">
        <v>18</v>
      </c>
      <c r="R26" s="3">
        <v>2</v>
      </c>
      <c r="S26" s="3" t="s">
        <v>33</v>
      </c>
      <c r="T26" s="3" t="s">
        <v>56</v>
      </c>
      <c r="U26" s="3" t="s">
        <v>57</v>
      </c>
    </row>
    <row r="27" spans="1:21">
      <c r="A27" s="3">
        <v>8967</v>
      </c>
      <c r="B27" s="3" t="s">
        <v>139</v>
      </c>
      <c r="C27" s="3" t="s">
        <v>22</v>
      </c>
      <c r="D27" s="3">
        <v>48</v>
      </c>
      <c r="E27" s="3" t="s">
        <v>98</v>
      </c>
      <c r="F27" s="3" t="s">
        <v>102</v>
      </c>
      <c r="G27" s="3" t="s">
        <v>50</v>
      </c>
      <c r="H27" s="3" t="s">
        <v>26</v>
      </c>
      <c r="I27" s="3" t="s">
        <v>140</v>
      </c>
      <c r="J27" s="3" t="s">
        <v>141</v>
      </c>
      <c r="K27" s="3" t="s">
        <v>29</v>
      </c>
      <c r="L27" s="3" t="s">
        <v>44</v>
      </c>
      <c r="M27" s="3">
        <v>36721</v>
      </c>
      <c r="N27" s="3" t="s">
        <v>45</v>
      </c>
      <c r="O27" s="3">
        <v>8820</v>
      </c>
      <c r="P27" s="3" t="s">
        <v>65</v>
      </c>
      <c r="Q27" s="3">
        <v>0</v>
      </c>
      <c r="R27" s="3">
        <v>2</v>
      </c>
      <c r="S27" s="3" t="s">
        <v>47</v>
      </c>
      <c r="T27" s="3" t="s">
        <v>56</v>
      </c>
      <c r="U27" s="3" t="s">
        <v>35</v>
      </c>
    </row>
    <row r="28" spans="1:21">
      <c r="A28" s="3">
        <v>5087</v>
      </c>
      <c r="B28" s="3" t="s">
        <v>142</v>
      </c>
      <c r="C28" s="3" t="s">
        <v>37</v>
      </c>
      <c r="D28" s="3">
        <v>28</v>
      </c>
      <c r="E28" s="3" t="s">
        <v>38</v>
      </c>
      <c r="F28" s="3" t="s">
        <v>49</v>
      </c>
      <c r="G28" s="3" t="s">
        <v>121</v>
      </c>
      <c r="H28" s="3" t="s">
        <v>26</v>
      </c>
      <c r="I28" s="3" t="s">
        <v>143</v>
      </c>
      <c r="J28" s="3" t="s">
        <v>144</v>
      </c>
      <c r="K28" s="3" t="s">
        <v>63</v>
      </c>
      <c r="L28" s="3" t="s">
        <v>54</v>
      </c>
      <c r="M28" s="3">
        <v>46326</v>
      </c>
      <c r="N28" s="3" t="s">
        <v>45</v>
      </c>
      <c r="O28" s="3">
        <v>9189</v>
      </c>
      <c r="P28" s="3" t="s">
        <v>65</v>
      </c>
      <c r="Q28" s="3">
        <v>8</v>
      </c>
      <c r="R28" s="3">
        <v>4</v>
      </c>
      <c r="S28" s="3" t="s">
        <v>33</v>
      </c>
      <c r="T28" s="3" t="s">
        <v>75</v>
      </c>
      <c r="U28" s="3" t="s">
        <v>57</v>
      </c>
    </row>
    <row r="29" spans="1:21">
      <c r="A29" s="3">
        <v>3358</v>
      </c>
      <c r="B29" s="3" t="s">
        <v>145</v>
      </c>
      <c r="C29" s="3" t="s">
        <v>37</v>
      </c>
      <c r="D29" s="3">
        <v>30</v>
      </c>
      <c r="E29" s="3" t="s">
        <v>38</v>
      </c>
      <c r="F29" s="3" t="s">
        <v>39</v>
      </c>
      <c r="G29" s="3" t="s">
        <v>72</v>
      </c>
      <c r="H29" s="3" t="s">
        <v>41</v>
      </c>
      <c r="I29" s="3" t="s">
        <v>146</v>
      </c>
      <c r="J29" s="3" t="s">
        <v>147</v>
      </c>
      <c r="K29" s="3" t="s">
        <v>29</v>
      </c>
      <c r="L29" s="3" t="s">
        <v>30</v>
      </c>
      <c r="M29" s="3">
        <v>59007</v>
      </c>
      <c r="N29" s="3" t="s">
        <v>31</v>
      </c>
      <c r="O29" s="3">
        <v>3380</v>
      </c>
      <c r="P29" s="3" t="s">
        <v>32</v>
      </c>
      <c r="Q29" s="3">
        <v>17</v>
      </c>
      <c r="R29" s="3">
        <v>3</v>
      </c>
      <c r="S29" s="3" t="s">
        <v>46</v>
      </c>
      <c r="T29" s="3" t="s">
        <v>96</v>
      </c>
      <c r="U29" s="3" t="s">
        <v>35</v>
      </c>
    </row>
    <row r="30" spans="1:21">
      <c r="A30" s="3">
        <v>8256</v>
      </c>
      <c r="B30" s="3" t="s">
        <v>148</v>
      </c>
      <c r="C30" s="3" t="s">
        <v>37</v>
      </c>
      <c r="D30" s="3">
        <v>46</v>
      </c>
      <c r="E30" s="3" t="s">
        <v>98</v>
      </c>
      <c r="F30" s="3" t="s">
        <v>80</v>
      </c>
      <c r="G30" s="3" t="s">
        <v>25</v>
      </c>
      <c r="H30" s="3" t="s">
        <v>60</v>
      </c>
      <c r="I30" s="3" t="s">
        <v>149</v>
      </c>
      <c r="J30" s="3" t="s">
        <v>150</v>
      </c>
      <c r="K30" s="3" t="s">
        <v>29</v>
      </c>
      <c r="L30" s="3" t="s">
        <v>44</v>
      </c>
      <c r="M30" s="3">
        <v>52020</v>
      </c>
      <c r="N30" s="3" t="s">
        <v>45</v>
      </c>
      <c r="O30" s="3">
        <v>9585</v>
      </c>
      <c r="P30" s="3" t="s">
        <v>65</v>
      </c>
      <c r="Q30" s="3">
        <v>0</v>
      </c>
      <c r="R30" s="3">
        <v>4</v>
      </c>
      <c r="S30" s="3" t="s">
        <v>47</v>
      </c>
      <c r="T30" s="3" t="s">
        <v>96</v>
      </c>
      <c r="U30" s="3" t="s">
        <v>46</v>
      </c>
    </row>
    <row r="31" spans="1:21">
      <c r="A31" s="3">
        <v>5763</v>
      </c>
      <c r="B31" s="3" t="s">
        <v>151</v>
      </c>
      <c r="C31" s="3" t="s">
        <v>37</v>
      </c>
      <c r="D31" s="3">
        <v>44</v>
      </c>
      <c r="E31" s="3" t="s">
        <v>59</v>
      </c>
      <c r="F31" s="3" t="s">
        <v>39</v>
      </c>
      <c r="G31" s="3" t="s">
        <v>50</v>
      </c>
      <c r="H31" s="3" t="s">
        <v>41</v>
      </c>
      <c r="I31" s="3" t="s">
        <v>152</v>
      </c>
      <c r="J31" s="3" t="s">
        <v>153</v>
      </c>
      <c r="K31" s="3" t="s">
        <v>111</v>
      </c>
      <c r="L31" s="3" t="s">
        <v>44</v>
      </c>
      <c r="M31" s="3">
        <v>98961</v>
      </c>
      <c r="N31" s="3" t="s">
        <v>55</v>
      </c>
      <c r="O31" s="3">
        <v>2688</v>
      </c>
      <c r="P31" s="3" t="s">
        <v>32</v>
      </c>
      <c r="Q31" s="3">
        <v>2</v>
      </c>
      <c r="R31" s="3">
        <v>5</v>
      </c>
      <c r="S31" s="3" t="s">
        <v>47</v>
      </c>
      <c r="T31" s="3" t="s">
        <v>96</v>
      </c>
      <c r="U31" s="3" t="s">
        <v>35</v>
      </c>
    </row>
    <row r="32" spans="1:21">
      <c r="A32" s="3">
        <v>6838</v>
      </c>
      <c r="B32" s="3" t="s">
        <v>154</v>
      </c>
      <c r="C32" s="3" t="s">
        <v>37</v>
      </c>
      <c r="D32" s="3">
        <v>45</v>
      </c>
      <c r="E32" s="3" t="s">
        <v>59</v>
      </c>
      <c r="F32" s="3" t="s">
        <v>49</v>
      </c>
      <c r="G32" s="3" t="s">
        <v>72</v>
      </c>
      <c r="H32" s="3" t="s">
        <v>51</v>
      </c>
      <c r="I32" s="3" t="s">
        <v>155</v>
      </c>
      <c r="J32" s="3" t="s">
        <v>156</v>
      </c>
      <c r="K32" s="3" t="s">
        <v>111</v>
      </c>
      <c r="L32" s="3" t="s">
        <v>44</v>
      </c>
      <c r="M32" s="3">
        <v>81943</v>
      </c>
      <c r="N32" s="3" t="s">
        <v>31</v>
      </c>
      <c r="O32" s="3">
        <v>2255</v>
      </c>
      <c r="P32" s="3" t="s">
        <v>32</v>
      </c>
      <c r="Q32" s="3">
        <v>18</v>
      </c>
      <c r="R32" s="3">
        <v>2</v>
      </c>
      <c r="S32" s="3" t="s">
        <v>46</v>
      </c>
      <c r="T32" s="3" t="s">
        <v>66</v>
      </c>
      <c r="U32" s="3" t="s">
        <v>35</v>
      </c>
    </row>
    <row r="33" spans="1:21">
      <c r="A33" s="3">
        <v>9544</v>
      </c>
      <c r="B33" s="3" t="s">
        <v>157</v>
      </c>
      <c r="C33" s="3" t="s">
        <v>37</v>
      </c>
      <c r="D33" s="3">
        <v>52</v>
      </c>
      <c r="E33" s="3" t="s">
        <v>98</v>
      </c>
      <c r="F33" s="3" t="s">
        <v>102</v>
      </c>
      <c r="G33" s="3" t="s">
        <v>50</v>
      </c>
      <c r="H33" s="3" t="s">
        <v>41</v>
      </c>
      <c r="I33" s="3" t="s">
        <v>158</v>
      </c>
      <c r="J33" s="3" t="s">
        <v>159</v>
      </c>
      <c r="K33" s="3" t="s">
        <v>111</v>
      </c>
      <c r="L33" s="3" t="s">
        <v>44</v>
      </c>
      <c r="M33" s="3">
        <v>47627</v>
      </c>
      <c r="N33" s="3" t="s">
        <v>31</v>
      </c>
      <c r="O33" s="3">
        <v>1221</v>
      </c>
      <c r="P33" s="3" t="s">
        <v>46</v>
      </c>
      <c r="Q33" s="3">
        <v>4</v>
      </c>
      <c r="R33" s="3">
        <v>3</v>
      </c>
      <c r="S33" s="3" t="s">
        <v>46</v>
      </c>
      <c r="T33" s="3" t="s">
        <v>56</v>
      </c>
      <c r="U33" s="3" t="s">
        <v>46</v>
      </c>
    </row>
    <row r="34" spans="1:21">
      <c r="A34" s="3">
        <v>8012</v>
      </c>
      <c r="B34" s="3" t="s">
        <v>160</v>
      </c>
      <c r="C34" s="3" t="s">
        <v>22</v>
      </c>
      <c r="D34" s="3">
        <v>52</v>
      </c>
      <c r="E34" s="3" t="s">
        <v>98</v>
      </c>
      <c r="F34" s="3" t="s">
        <v>24</v>
      </c>
      <c r="G34" s="3" t="s">
        <v>25</v>
      </c>
      <c r="H34" s="3" t="s">
        <v>81</v>
      </c>
      <c r="I34" s="3" t="s">
        <v>161</v>
      </c>
      <c r="J34" s="3" t="s">
        <v>162</v>
      </c>
      <c r="K34" s="3" t="s">
        <v>111</v>
      </c>
      <c r="L34" s="3" t="s">
        <v>44</v>
      </c>
      <c r="M34" s="3">
        <v>56162</v>
      </c>
      <c r="N34" s="3" t="s">
        <v>55</v>
      </c>
      <c r="O34" s="3">
        <v>6560</v>
      </c>
      <c r="P34" s="3" t="s">
        <v>65</v>
      </c>
      <c r="Q34" s="3">
        <v>9</v>
      </c>
      <c r="R34" s="3">
        <v>4</v>
      </c>
      <c r="S34" s="3" t="s">
        <v>47</v>
      </c>
      <c r="T34" s="3" t="s">
        <v>75</v>
      </c>
      <c r="U34" s="3" t="s">
        <v>46</v>
      </c>
    </row>
    <row r="35" spans="1:21">
      <c r="A35" s="3">
        <v>9374</v>
      </c>
      <c r="B35" s="3" t="s">
        <v>163</v>
      </c>
      <c r="C35" s="3" t="s">
        <v>22</v>
      </c>
      <c r="D35" s="3">
        <v>42</v>
      </c>
      <c r="E35" s="3" t="s">
        <v>59</v>
      </c>
      <c r="F35" s="3" t="s">
        <v>39</v>
      </c>
      <c r="G35" s="3" t="s">
        <v>50</v>
      </c>
      <c r="H35" s="3" t="s">
        <v>51</v>
      </c>
      <c r="I35" s="3" t="s">
        <v>164</v>
      </c>
      <c r="J35" s="3" t="s">
        <v>165</v>
      </c>
      <c r="K35" s="3" t="s">
        <v>63</v>
      </c>
      <c r="L35" s="3" t="s">
        <v>54</v>
      </c>
      <c r="M35" s="3">
        <v>95734</v>
      </c>
      <c r="N35" s="3" t="s">
        <v>31</v>
      </c>
      <c r="O35" s="3">
        <v>4854</v>
      </c>
      <c r="P35" s="3" t="s">
        <v>32</v>
      </c>
      <c r="Q35" s="3">
        <v>13</v>
      </c>
      <c r="R35" s="3">
        <v>2</v>
      </c>
      <c r="S35" s="3" t="s">
        <v>33</v>
      </c>
      <c r="T35" s="3" t="s">
        <v>34</v>
      </c>
      <c r="U35" s="3" t="s">
        <v>35</v>
      </c>
    </row>
    <row r="36" spans="1:21">
      <c r="A36" s="3">
        <v>3487</v>
      </c>
      <c r="B36" s="3" t="s">
        <v>166</v>
      </c>
      <c r="C36" s="3" t="s">
        <v>37</v>
      </c>
      <c r="D36" s="3">
        <v>58</v>
      </c>
      <c r="E36" s="3" t="s">
        <v>68</v>
      </c>
      <c r="F36" s="3" t="s">
        <v>39</v>
      </c>
      <c r="G36" s="3" t="s">
        <v>40</v>
      </c>
      <c r="H36" s="3" t="s">
        <v>60</v>
      </c>
      <c r="I36" s="3" t="s">
        <v>167</v>
      </c>
      <c r="J36" s="3" t="s">
        <v>168</v>
      </c>
      <c r="K36" s="3" t="s">
        <v>63</v>
      </c>
      <c r="L36" s="3" t="s">
        <v>54</v>
      </c>
      <c r="M36" s="3">
        <v>74789</v>
      </c>
      <c r="N36" s="3" t="s">
        <v>31</v>
      </c>
      <c r="O36" s="3">
        <v>8101</v>
      </c>
      <c r="P36" s="3" t="s">
        <v>65</v>
      </c>
      <c r="Q36" s="3">
        <v>14</v>
      </c>
      <c r="R36" s="3">
        <v>5</v>
      </c>
      <c r="S36" s="3" t="s">
        <v>47</v>
      </c>
      <c r="T36" s="3" t="s">
        <v>66</v>
      </c>
      <c r="U36" s="3" t="s">
        <v>46</v>
      </c>
    </row>
    <row r="37" spans="1:21">
      <c r="A37" s="3">
        <v>8445</v>
      </c>
      <c r="B37" s="3" t="s">
        <v>169</v>
      </c>
      <c r="C37" s="3" t="s">
        <v>22</v>
      </c>
      <c r="D37" s="3">
        <v>24</v>
      </c>
      <c r="E37" s="3" t="s">
        <v>23</v>
      </c>
      <c r="F37" s="3" t="s">
        <v>102</v>
      </c>
      <c r="G37" s="3" t="s">
        <v>25</v>
      </c>
      <c r="H37" s="3" t="s">
        <v>60</v>
      </c>
      <c r="I37" s="3" t="s">
        <v>170</v>
      </c>
      <c r="J37" s="3" t="s">
        <v>171</v>
      </c>
      <c r="K37" s="3" t="s">
        <v>29</v>
      </c>
      <c r="L37" s="3" t="s">
        <v>54</v>
      </c>
      <c r="M37" s="3">
        <v>30137</v>
      </c>
      <c r="N37" s="3" t="s">
        <v>45</v>
      </c>
      <c r="O37" s="3">
        <v>4031</v>
      </c>
      <c r="P37" s="3" t="s">
        <v>46</v>
      </c>
      <c r="Q37" s="3">
        <v>5</v>
      </c>
      <c r="R37" s="3">
        <v>3</v>
      </c>
      <c r="S37" s="3" t="s">
        <v>46</v>
      </c>
      <c r="T37" s="3" t="s">
        <v>56</v>
      </c>
      <c r="U37" s="3" t="s">
        <v>35</v>
      </c>
    </row>
    <row r="38" spans="1:21">
      <c r="A38" s="3">
        <v>1550</v>
      </c>
      <c r="B38" s="3" t="s">
        <v>172</v>
      </c>
      <c r="C38" s="3" t="s">
        <v>37</v>
      </c>
      <c r="D38" s="3">
        <v>21</v>
      </c>
      <c r="E38" s="3" t="s">
        <v>23</v>
      </c>
      <c r="F38" s="3" t="s">
        <v>39</v>
      </c>
      <c r="G38" s="3" t="s">
        <v>25</v>
      </c>
      <c r="H38" s="3" t="s">
        <v>26</v>
      </c>
      <c r="I38" s="3" t="s">
        <v>173</v>
      </c>
      <c r="J38" s="3" t="s">
        <v>174</v>
      </c>
      <c r="K38" s="3" t="s">
        <v>29</v>
      </c>
      <c r="L38" s="3" t="s">
        <v>54</v>
      </c>
      <c r="M38" s="3">
        <v>95510</v>
      </c>
      <c r="N38" s="3" t="s">
        <v>31</v>
      </c>
      <c r="O38" s="3">
        <v>6811</v>
      </c>
      <c r="P38" s="3" t="s">
        <v>32</v>
      </c>
      <c r="Q38" s="3">
        <v>18</v>
      </c>
      <c r="R38" s="3">
        <v>4</v>
      </c>
      <c r="S38" s="3" t="s">
        <v>47</v>
      </c>
      <c r="T38" s="3" t="s">
        <v>96</v>
      </c>
      <c r="U38" s="3" t="s">
        <v>35</v>
      </c>
    </row>
    <row r="39" spans="1:21">
      <c r="A39" s="3">
        <v>9968</v>
      </c>
      <c r="B39" s="3" t="s">
        <v>175</v>
      </c>
      <c r="C39" s="3" t="s">
        <v>37</v>
      </c>
      <c r="D39" s="3">
        <v>58</v>
      </c>
      <c r="E39" s="3" t="s">
        <v>68</v>
      </c>
      <c r="F39" s="3" t="s">
        <v>39</v>
      </c>
      <c r="G39" s="3" t="s">
        <v>72</v>
      </c>
      <c r="H39" s="3" t="s">
        <v>26</v>
      </c>
      <c r="I39" s="3" t="s">
        <v>176</v>
      </c>
      <c r="J39" s="3" t="s">
        <v>177</v>
      </c>
      <c r="K39" s="3" t="s">
        <v>63</v>
      </c>
      <c r="L39" s="3" t="s">
        <v>30</v>
      </c>
      <c r="M39" s="3">
        <v>80325</v>
      </c>
      <c r="N39" s="3" t="s">
        <v>45</v>
      </c>
      <c r="O39" s="3">
        <v>6230</v>
      </c>
      <c r="P39" s="3" t="s">
        <v>32</v>
      </c>
      <c r="Q39" s="3">
        <v>5</v>
      </c>
      <c r="R39" s="3">
        <v>4</v>
      </c>
      <c r="S39" s="3" t="s">
        <v>46</v>
      </c>
      <c r="T39" s="3" t="s">
        <v>66</v>
      </c>
      <c r="U39" s="3" t="s">
        <v>57</v>
      </c>
    </row>
    <row r="40" spans="1:21">
      <c r="A40" s="3">
        <v>8029</v>
      </c>
      <c r="B40" s="3" t="s">
        <v>178</v>
      </c>
      <c r="C40" s="3" t="s">
        <v>22</v>
      </c>
      <c r="D40" s="3">
        <v>57</v>
      </c>
      <c r="E40" s="3" t="s">
        <v>68</v>
      </c>
      <c r="F40" s="3" t="s">
        <v>80</v>
      </c>
      <c r="G40" s="3" t="s">
        <v>121</v>
      </c>
      <c r="H40" s="3" t="s">
        <v>81</v>
      </c>
      <c r="I40" s="3" t="s">
        <v>179</v>
      </c>
      <c r="J40" s="3" t="s">
        <v>180</v>
      </c>
      <c r="K40" s="3" t="s">
        <v>111</v>
      </c>
      <c r="L40" s="3" t="s">
        <v>44</v>
      </c>
      <c r="M40" s="3">
        <v>34109</v>
      </c>
      <c r="N40" s="3" t="s">
        <v>45</v>
      </c>
      <c r="O40" s="3">
        <v>9232</v>
      </c>
      <c r="P40" s="3" t="s">
        <v>32</v>
      </c>
      <c r="Q40" s="3">
        <v>13</v>
      </c>
      <c r="R40" s="3">
        <v>3</v>
      </c>
      <c r="S40" s="3" t="s">
        <v>33</v>
      </c>
      <c r="T40" s="3" t="s">
        <v>34</v>
      </c>
      <c r="U40" s="3" t="s">
        <v>35</v>
      </c>
    </row>
    <row r="41" spans="1:21">
      <c r="A41" s="3">
        <v>8847</v>
      </c>
      <c r="B41" s="3" t="s">
        <v>181</v>
      </c>
      <c r="C41" s="3" t="s">
        <v>37</v>
      </c>
      <c r="D41" s="3">
        <v>41</v>
      </c>
      <c r="E41" s="3" t="s">
        <v>59</v>
      </c>
      <c r="F41" s="3" t="s">
        <v>80</v>
      </c>
      <c r="G41" s="3" t="s">
        <v>72</v>
      </c>
      <c r="H41" s="3" t="s">
        <v>26</v>
      </c>
      <c r="I41" s="3" t="s">
        <v>182</v>
      </c>
      <c r="J41" s="3" t="s">
        <v>183</v>
      </c>
      <c r="K41" s="3" t="s">
        <v>111</v>
      </c>
      <c r="L41" s="3" t="s">
        <v>54</v>
      </c>
      <c r="M41" s="3">
        <v>73330</v>
      </c>
      <c r="N41" s="3" t="s">
        <v>31</v>
      </c>
      <c r="O41" s="3">
        <v>2276</v>
      </c>
      <c r="P41" s="3" t="s">
        <v>65</v>
      </c>
      <c r="Q41" s="3">
        <v>5</v>
      </c>
      <c r="R41" s="3">
        <v>1</v>
      </c>
      <c r="S41" s="3" t="s">
        <v>46</v>
      </c>
      <c r="T41" s="3" t="s">
        <v>56</v>
      </c>
      <c r="U41" s="3" t="s">
        <v>57</v>
      </c>
    </row>
    <row r="42" spans="1:21">
      <c r="A42" s="3">
        <v>1955</v>
      </c>
      <c r="B42" s="3" t="s">
        <v>184</v>
      </c>
      <c r="C42" s="3" t="s">
        <v>22</v>
      </c>
      <c r="D42" s="3">
        <v>58</v>
      </c>
      <c r="E42" s="3" t="s">
        <v>68</v>
      </c>
      <c r="F42" s="3" t="s">
        <v>49</v>
      </c>
      <c r="G42" s="3" t="s">
        <v>50</v>
      </c>
      <c r="H42" s="3" t="s">
        <v>41</v>
      </c>
      <c r="I42" s="3" t="s">
        <v>185</v>
      </c>
      <c r="J42" s="3" t="s">
        <v>186</v>
      </c>
      <c r="K42" s="3" t="s">
        <v>63</v>
      </c>
      <c r="L42" s="3" t="s">
        <v>54</v>
      </c>
      <c r="M42" s="3">
        <v>46567</v>
      </c>
      <c r="N42" s="3" t="s">
        <v>64</v>
      </c>
      <c r="O42" s="3">
        <v>2825</v>
      </c>
      <c r="P42" s="3" t="s">
        <v>32</v>
      </c>
      <c r="Q42" s="3">
        <v>15</v>
      </c>
      <c r="R42" s="3">
        <v>3</v>
      </c>
      <c r="S42" s="3" t="s">
        <v>46</v>
      </c>
      <c r="T42" s="3" t="s">
        <v>96</v>
      </c>
      <c r="U42" s="3" t="s">
        <v>57</v>
      </c>
    </row>
    <row r="43" spans="1:21">
      <c r="A43" s="3">
        <v>4522</v>
      </c>
      <c r="B43" s="3" t="s">
        <v>187</v>
      </c>
      <c r="C43" s="3" t="s">
        <v>22</v>
      </c>
      <c r="D43" s="3">
        <v>36</v>
      </c>
      <c r="E43" s="3" t="s">
        <v>59</v>
      </c>
      <c r="F43" s="3" t="s">
        <v>24</v>
      </c>
      <c r="G43" s="3" t="s">
        <v>121</v>
      </c>
      <c r="H43" s="3" t="s">
        <v>26</v>
      </c>
      <c r="I43" s="3" t="s">
        <v>188</v>
      </c>
      <c r="J43" s="3" t="s">
        <v>189</v>
      </c>
      <c r="K43" s="3" t="s">
        <v>63</v>
      </c>
      <c r="L43" s="3" t="s">
        <v>44</v>
      </c>
      <c r="M43" s="3">
        <v>39795</v>
      </c>
      <c r="N43" s="3" t="s">
        <v>64</v>
      </c>
      <c r="O43" s="3">
        <v>1670</v>
      </c>
      <c r="P43" s="3" t="s">
        <v>46</v>
      </c>
      <c r="Q43" s="3">
        <v>0</v>
      </c>
      <c r="R43" s="3">
        <v>2</v>
      </c>
      <c r="S43" s="3" t="s">
        <v>47</v>
      </c>
      <c r="T43" s="3" t="s">
        <v>75</v>
      </c>
      <c r="U43" s="3" t="s">
        <v>46</v>
      </c>
    </row>
    <row r="44" spans="1:21">
      <c r="A44" s="3">
        <v>3078</v>
      </c>
      <c r="B44" s="3" t="s">
        <v>190</v>
      </c>
      <c r="C44" s="3" t="s">
        <v>22</v>
      </c>
      <c r="D44" s="3">
        <v>21</v>
      </c>
      <c r="E44" s="3" t="s">
        <v>23</v>
      </c>
      <c r="F44" s="3" t="s">
        <v>24</v>
      </c>
      <c r="G44" s="3" t="s">
        <v>25</v>
      </c>
      <c r="H44" s="3" t="s">
        <v>81</v>
      </c>
      <c r="I44" s="3" t="s">
        <v>191</v>
      </c>
      <c r="J44" s="3" t="s">
        <v>192</v>
      </c>
      <c r="K44" s="3" t="s">
        <v>63</v>
      </c>
      <c r="L44" s="3" t="s">
        <v>54</v>
      </c>
      <c r="M44" s="3">
        <v>59506</v>
      </c>
      <c r="N44" s="3" t="s">
        <v>64</v>
      </c>
      <c r="O44" s="3">
        <v>4428</v>
      </c>
      <c r="P44" s="3" t="s">
        <v>65</v>
      </c>
      <c r="Q44" s="3">
        <v>0</v>
      </c>
      <c r="R44" s="3">
        <v>1</v>
      </c>
      <c r="S44" s="3" t="s">
        <v>46</v>
      </c>
      <c r="T44" s="3" t="s">
        <v>75</v>
      </c>
      <c r="U44" s="3" t="s">
        <v>35</v>
      </c>
    </row>
    <row r="45" spans="1:21">
      <c r="A45" s="3">
        <v>6357</v>
      </c>
      <c r="B45" s="3" t="s">
        <v>193</v>
      </c>
      <c r="C45" s="3" t="s">
        <v>22</v>
      </c>
      <c r="D45" s="3">
        <v>46</v>
      </c>
      <c r="E45" s="3" t="s">
        <v>98</v>
      </c>
      <c r="F45" s="3" t="s">
        <v>49</v>
      </c>
      <c r="G45" s="3" t="s">
        <v>40</v>
      </c>
      <c r="H45" s="3" t="s">
        <v>81</v>
      </c>
      <c r="I45" s="3" t="s">
        <v>194</v>
      </c>
      <c r="J45" s="3" t="s">
        <v>195</v>
      </c>
      <c r="K45" s="3" t="s">
        <v>63</v>
      </c>
      <c r="L45" s="3" t="s">
        <v>54</v>
      </c>
      <c r="M45" s="3">
        <v>49058</v>
      </c>
      <c r="N45" s="3" t="s">
        <v>45</v>
      </c>
      <c r="O45" s="3">
        <v>4396</v>
      </c>
      <c r="P45" s="3" t="s">
        <v>46</v>
      </c>
      <c r="Q45" s="3">
        <v>5</v>
      </c>
      <c r="R45" s="3">
        <v>1</v>
      </c>
      <c r="S45" s="3" t="s">
        <v>46</v>
      </c>
      <c r="T45" s="3" t="s">
        <v>75</v>
      </c>
      <c r="U45" s="3" t="s">
        <v>46</v>
      </c>
    </row>
    <row r="46" spans="1:21">
      <c r="A46" s="3">
        <v>7951</v>
      </c>
      <c r="B46" s="3" t="s">
        <v>196</v>
      </c>
      <c r="C46" s="3" t="s">
        <v>22</v>
      </c>
      <c r="D46" s="3">
        <v>36</v>
      </c>
      <c r="E46" s="3" t="s">
        <v>59</v>
      </c>
      <c r="F46" s="3" t="s">
        <v>80</v>
      </c>
      <c r="G46" s="3" t="s">
        <v>50</v>
      </c>
      <c r="H46" s="3" t="s">
        <v>81</v>
      </c>
      <c r="I46" s="3" t="s">
        <v>197</v>
      </c>
      <c r="J46" s="3" t="s">
        <v>198</v>
      </c>
      <c r="K46" s="3" t="s">
        <v>63</v>
      </c>
      <c r="L46" s="3" t="s">
        <v>30</v>
      </c>
      <c r="M46" s="3">
        <v>98612</v>
      </c>
      <c r="N46" s="3" t="s">
        <v>64</v>
      </c>
      <c r="O46" s="3">
        <v>1168</v>
      </c>
      <c r="P46" s="3" t="s">
        <v>46</v>
      </c>
      <c r="Q46" s="3">
        <v>9</v>
      </c>
      <c r="R46" s="3">
        <v>2</v>
      </c>
      <c r="S46" s="3" t="s">
        <v>47</v>
      </c>
      <c r="T46" s="3" t="s">
        <v>34</v>
      </c>
      <c r="U46" s="3" t="s">
        <v>35</v>
      </c>
    </row>
    <row r="47" spans="1:21">
      <c r="A47" s="3">
        <v>9228</v>
      </c>
      <c r="B47" s="3" t="s">
        <v>199</v>
      </c>
      <c r="C47" s="3" t="s">
        <v>37</v>
      </c>
      <c r="D47" s="3">
        <v>41</v>
      </c>
      <c r="E47" s="3" t="s">
        <v>59</v>
      </c>
      <c r="F47" s="3" t="s">
        <v>102</v>
      </c>
      <c r="G47" s="3" t="s">
        <v>72</v>
      </c>
      <c r="H47" s="3" t="s">
        <v>41</v>
      </c>
      <c r="I47" s="3" t="s">
        <v>200</v>
      </c>
      <c r="J47" s="3" t="s">
        <v>201</v>
      </c>
      <c r="K47" s="3" t="s">
        <v>111</v>
      </c>
      <c r="L47" s="3" t="s">
        <v>44</v>
      </c>
      <c r="M47" s="3">
        <v>38201</v>
      </c>
      <c r="N47" s="3" t="s">
        <v>64</v>
      </c>
      <c r="O47" s="3">
        <v>7111</v>
      </c>
      <c r="P47" s="3" t="s">
        <v>32</v>
      </c>
      <c r="Q47" s="3">
        <v>8</v>
      </c>
      <c r="R47" s="3">
        <v>4</v>
      </c>
      <c r="S47" s="3" t="s">
        <v>33</v>
      </c>
      <c r="T47" s="3" t="s">
        <v>75</v>
      </c>
      <c r="U47" s="3" t="s">
        <v>46</v>
      </c>
    </row>
    <row r="48" spans="1:21">
      <c r="A48" s="3">
        <v>8988</v>
      </c>
      <c r="B48" s="3" t="s">
        <v>202</v>
      </c>
      <c r="C48" s="3" t="s">
        <v>37</v>
      </c>
      <c r="D48" s="3">
        <v>25</v>
      </c>
      <c r="E48" s="3" t="s">
        <v>23</v>
      </c>
      <c r="F48" s="3" t="s">
        <v>24</v>
      </c>
      <c r="G48" s="3" t="s">
        <v>50</v>
      </c>
      <c r="H48" s="3" t="s">
        <v>51</v>
      </c>
      <c r="I48" s="3" t="s">
        <v>203</v>
      </c>
      <c r="J48" s="3" t="s">
        <v>204</v>
      </c>
      <c r="K48" s="3" t="s">
        <v>111</v>
      </c>
      <c r="L48" s="3" t="s">
        <v>44</v>
      </c>
      <c r="M48" s="3">
        <v>92919</v>
      </c>
      <c r="N48" s="3" t="s">
        <v>55</v>
      </c>
      <c r="O48" s="3">
        <v>9497</v>
      </c>
      <c r="P48" s="3" t="s">
        <v>32</v>
      </c>
      <c r="Q48" s="3">
        <v>7</v>
      </c>
      <c r="R48" s="3">
        <v>2</v>
      </c>
      <c r="S48" s="3" t="s">
        <v>46</v>
      </c>
      <c r="T48" s="3" t="s">
        <v>75</v>
      </c>
      <c r="U48" s="3" t="s">
        <v>57</v>
      </c>
    </row>
    <row r="49" spans="1:21">
      <c r="A49" s="3">
        <v>1952</v>
      </c>
      <c r="B49" s="3" t="s">
        <v>205</v>
      </c>
      <c r="C49" s="3" t="s">
        <v>22</v>
      </c>
      <c r="D49" s="3">
        <v>29</v>
      </c>
      <c r="E49" s="3" t="s">
        <v>38</v>
      </c>
      <c r="F49" s="3" t="s">
        <v>102</v>
      </c>
      <c r="G49" s="3" t="s">
        <v>25</v>
      </c>
      <c r="H49" s="3" t="s">
        <v>41</v>
      </c>
      <c r="I49" s="3" t="s">
        <v>206</v>
      </c>
      <c r="J49" s="3" t="s">
        <v>207</v>
      </c>
      <c r="K49" s="3" t="s">
        <v>29</v>
      </c>
      <c r="L49" s="3" t="s">
        <v>54</v>
      </c>
      <c r="M49" s="3">
        <v>45188</v>
      </c>
      <c r="N49" s="3" t="s">
        <v>64</v>
      </c>
      <c r="O49" s="3">
        <v>9591</v>
      </c>
      <c r="P49" s="3" t="s">
        <v>65</v>
      </c>
      <c r="Q49" s="3">
        <v>18</v>
      </c>
      <c r="R49" s="3">
        <v>3</v>
      </c>
      <c r="S49" s="3" t="s">
        <v>33</v>
      </c>
      <c r="T49" s="3" t="s">
        <v>75</v>
      </c>
      <c r="U49" s="3" t="s">
        <v>46</v>
      </c>
    </row>
    <row r="50" spans="1:21">
      <c r="A50" s="3">
        <v>5760</v>
      </c>
      <c r="B50" s="3" t="s">
        <v>208</v>
      </c>
      <c r="C50" s="3" t="s">
        <v>22</v>
      </c>
      <c r="D50" s="3">
        <v>59</v>
      </c>
      <c r="E50" s="3" t="s">
        <v>68</v>
      </c>
      <c r="F50" s="3" t="s">
        <v>49</v>
      </c>
      <c r="G50" s="3" t="s">
        <v>40</v>
      </c>
      <c r="H50" s="3" t="s">
        <v>26</v>
      </c>
      <c r="I50" s="3" t="s">
        <v>209</v>
      </c>
      <c r="J50" s="3" t="s">
        <v>210</v>
      </c>
      <c r="K50" s="3" t="s">
        <v>29</v>
      </c>
      <c r="L50" s="3" t="s">
        <v>44</v>
      </c>
      <c r="M50" s="3">
        <v>34927</v>
      </c>
      <c r="N50" s="3" t="s">
        <v>55</v>
      </c>
      <c r="O50" s="3">
        <v>6996</v>
      </c>
      <c r="P50" s="3" t="s">
        <v>65</v>
      </c>
      <c r="Q50" s="3">
        <v>16</v>
      </c>
      <c r="R50" s="3">
        <v>1</v>
      </c>
      <c r="S50" s="3" t="s">
        <v>47</v>
      </c>
      <c r="T50" s="3" t="s">
        <v>34</v>
      </c>
      <c r="U50" s="3" t="s">
        <v>35</v>
      </c>
    </row>
    <row r="51" spans="1:21">
      <c r="A51" s="3">
        <v>5742</v>
      </c>
      <c r="B51" s="3" t="s">
        <v>211</v>
      </c>
      <c r="C51" s="3" t="s">
        <v>22</v>
      </c>
      <c r="D51" s="3">
        <v>27</v>
      </c>
      <c r="E51" s="3" t="s">
        <v>38</v>
      </c>
      <c r="F51" s="3" t="s">
        <v>24</v>
      </c>
      <c r="G51" s="3" t="s">
        <v>50</v>
      </c>
      <c r="H51" s="3" t="s">
        <v>60</v>
      </c>
      <c r="I51" s="3" t="s">
        <v>212</v>
      </c>
      <c r="J51" s="3" t="s">
        <v>213</v>
      </c>
      <c r="K51" s="3" t="s">
        <v>29</v>
      </c>
      <c r="L51" s="3" t="s">
        <v>44</v>
      </c>
      <c r="M51" s="3">
        <v>33183</v>
      </c>
      <c r="N51" s="3" t="s">
        <v>64</v>
      </c>
      <c r="O51" s="3">
        <v>1659</v>
      </c>
      <c r="P51" s="3" t="s">
        <v>46</v>
      </c>
      <c r="Q51" s="3">
        <v>11</v>
      </c>
      <c r="R51" s="3">
        <v>1</v>
      </c>
      <c r="S51" s="3" t="s">
        <v>33</v>
      </c>
      <c r="T51" s="3" t="s">
        <v>66</v>
      </c>
      <c r="U51" s="3" t="s">
        <v>46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D34B44-97A2-4073-AC7C-25AE67D852A0}">
  <dimension ref="A2:AE20"/>
  <sheetViews>
    <sheetView workbookViewId="0">
      <selection activeCell="J18" sqref="J18:M19"/>
    </sheetView>
  </sheetViews>
  <sheetFormatPr defaultRowHeight="14.4"/>
  <cols>
    <col min="1" max="1" width="12.44140625" bestFit="1" customWidth="1"/>
    <col min="2" max="2" width="16.6640625" bestFit="1" customWidth="1"/>
    <col min="4" max="5" width="10.109375" customWidth="1"/>
    <col min="6" max="6" width="12.44140625" bestFit="1" customWidth="1"/>
    <col min="7" max="7" width="12.21875" bestFit="1" customWidth="1"/>
    <col min="8" max="8" width="17.21875" bestFit="1" customWidth="1"/>
    <col min="10" max="10" width="16.6640625" bestFit="1" customWidth="1"/>
    <col min="11" max="11" width="15.5546875" bestFit="1" customWidth="1"/>
    <col min="12" max="12" width="5" bestFit="1" customWidth="1"/>
    <col min="13" max="13" width="10.5546875" bestFit="1" customWidth="1"/>
    <col min="14" max="14" width="5.6640625" bestFit="1" customWidth="1"/>
    <col min="15" max="15" width="4.33203125" bestFit="1" customWidth="1"/>
    <col min="16" max="16" width="12.44140625" bestFit="1" customWidth="1"/>
    <col min="17" max="17" width="16.6640625" bestFit="1" customWidth="1"/>
    <col min="18" max="18" width="7.5546875" customWidth="1"/>
    <col min="19" max="19" width="10.5546875" bestFit="1" customWidth="1"/>
    <col min="21" max="21" width="13.88671875" bestFit="1" customWidth="1"/>
    <col min="22" max="22" width="16.6640625" bestFit="1" customWidth="1"/>
    <col min="23" max="23" width="17.77734375" bestFit="1" customWidth="1"/>
    <col min="25" max="25" width="12.44140625" bestFit="1" customWidth="1"/>
    <col min="26" max="26" width="16.6640625" bestFit="1" customWidth="1"/>
    <col min="29" max="29" width="12.44140625" bestFit="1" customWidth="1"/>
    <col min="30" max="30" width="26.44140625" bestFit="1" customWidth="1"/>
  </cols>
  <sheetData>
    <row r="2" spans="1:31">
      <c r="A2" s="9" t="s">
        <v>218</v>
      </c>
      <c r="B2" s="9"/>
      <c r="C2" s="9"/>
      <c r="F2" s="9" t="s">
        <v>221</v>
      </c>
      <c r="G2" s="9"/>
      <c r="H2" s="9"/>
      <c r="J2" s="9" t="s">
        <v>223</v>
      </c>
      <c r="K2" s="9"/>
      <c r="L2" s="9"/>
      <c r="P2" s="9" t="s">
        <v>226</v>
      </c>
      <c r="Q2" s="9"/>
      <c r="R2" s="9"/>
      <c r="U2" s="9" t="s">
        <v>227</v>
      </c>
      <c r="V2" s="9"/>
      <c r="W2" s="9"/>
      <c r="Y2" s="9" t="s">
        <v>227</v>
      </c>
      <c r="Z2" s="9"/>
      <c r="AA2" s="9"/>
      <c r="AC2" s="9" t="s">
        <v>7</v>
      </c>
      <c r="AD2" s="9"/>
      <c r="AE2" s="9"/>
    </row>
    <row r="3" spans="1:31">
      <c r="A3" s="5" t="s">
        <v>214</v>
      </c>
      <c r="B3" t="s">
        <v>216</v>
      </c>
      <c r="F3" s="5" t="s">
        <v>214</v>
      </c>
      <c r="G3" t="s">
        <v>219</v>
      </c>
      <c r="H3" t="s">
        <v>229</v>
      </c>
      <c r="J3" s="5" t="s">
        <v>216</v>
      </c>
      <c r="K3" s="5" t="s">
        <v>222</v>
      </c>
      <c r="P3" s="5" t="s">
        <v>214</v>
      </c>
      <c r="Q3" t="s">
        <v>216</v>
      </c>
      <c r="U3" s="5" t="s">
        <v>214</v>
      </c>
      <c r="V3" t="s">
        <v>216</v>
      </c>
      <c r="Y3" s="5" t="s">
        <v>214</v>
      </c>
      <c r="Z3" t="s">
        <v>216</v>
      </c>
      <c r="AC3" s="5" t="s">
        <v>214</v>
      </c>
      <c r="AD3" t="s">
        <v>230</v>
      </c>
    </row>
    <row r="4" spans="1:31">
      <c r="A4" s="6" t="s">
        <v>63</v>
      </c>
      <c r="B4" s="4">
        <v>17</v>
      </c>
      <c r="F4" s="6" t="s">
        <v>121</v>
      </c>
      <c r="G4" s="4">
        <v>167041</v>
      </c>
      <c r="H4" s="4">
        <v>28</v>
      </c>
      <c r="J4" s="5" t="s">
        <v>214</v>
      </c>
      <c r="K4" t="s">
        <v>22</v>
      </c>
      <c r="L4" t="s">
        <v>37</v>
      </c>
      <c r="M4" t="s">
        <v>215</v>
      </c>
      <c r="P4" s="6" t="s">
        <v>44</v>
      </c>
      <c r="Q4" s="4">
        <v>23</v>
      </c>
      <c r="U4" s="6" t="s">
        <v>75</v>
      </c>
      <c r="V4" s="4">
        <v>12</v>
      </c>
      <c r="Y4" s="6" t="s">
        <v>39</v>
      </c>
      <c r="Z4" s="4">
        <v>14</v>
      </c>
      <c r="AC4" s="6" t="s">
        <v>26</v>
      </c>
      <c r="AD4" s="11">
        <v>2.5833333333333335</v>
      </c>
    </row>
    <row r="5" spans="1:31">
      <c r="A5" s="6" t="s">
        <v>29</v>
      </c>
      <c r="B5" s="4">
        <v>20</v>
      </c>
      <c r="F5" s="6" t="s">
        <v>40</v>
      </c>
      <c r="G5" s="4">
        <v>613842</v>
      </c>
      <c r="H5" s="4">
        <v>110</v>
      </c>
      <c r="J5" s="6" t="s">
        <v>23</v>
      </c>
      <c r="K5" s="4">
        <v>6</v>
      </c>
      <c r="L5" s="4">
        <v>3</v>
      </c>
      <c r="M5" s="4">
        <v>9</v>
      </c>
      <c r="P5" s="6" t="s">
        <v>30</v>
      </c>
      <c r="Q5" s="4">
        <v>8</v>
      </c>
      <c r="U5" s="6" t="s">
        <v>34</v>
      </c>
      <c r="V5" s="4">
        <v>11</v>
      </c>
      <c r="Y5" s="6" t="s">
        <v>24</v>
      </c>
      <c r="Z5" s="4">
        <v>10</v>
      </c>
      <c r="AC5" s="6" t="s">
        <v>41</v>
      </c>
      <c r="AD5" s="11">
        <v>3.3</v>
      </c>
    </row>
    <row r="6" spans="1:31">
      <c r="A6" s="6" t="s">
        <v>111</v>
      </c>
      <c r="B6" s="4">
        <v>13</v>
      </c>
      <c r="F6" s="6" t="s">
        <v>72</v>
      </c>
      <c r="G6" s="4">
        <v>633594</v>
      </c>
      <c r="H6" s="4">
        <v>104</v>
      </c>
      <c r="J6" s="6" t="s">
        <v>38</v>
      </c>
      <c r="K6" s="4">
        <v>7</v>
      </c>
      <c r="L6" s="4">
        <v>6</v>
      </c>
      <c r="M6" s="4">
        <v>13</v>
      </c>
      <c r="P6" s="6" t="s">
        <v>54</v>
      </c>
      <c r="Q6" s="4">
        <v>19</v>
      </c>
      <c r="U6" s="6" t="s">
        <v>96</v>
      </c>
      <c r="V6" s="4">
        <v>7</v>
      </c>
      <c r="Y6" s="6" t="s">
        <v>102</v>
      </c>
      <c r="Z6" s="4">
        <v>7</v>
      </c>
      <c r="AC6" s="6" t="s">
        <v>81</v>
      </c>
      <c r="AD6" s="11">
        <v>2.25</v>
      </c>
    </row>
    <row r="7" spans="1:31">
      <c r="A7" s="6" t="s">
        <v>215</v>
      </c>
      <c r="B7" s="4">
        <v>50</v>
      </c>
      <c r="F7" s="6" t="s">
        <v>50</v>
      </c>
      <c r="G7" s="4">
        <v>959266</v>
      </c>
      <c r="H7" s="4">
        <v>123</v>
      </c>
      <c r="J7" s="6" t="s">
        <v>59</v>
      </c>
      <c r="K7" s="4">
        <v>5</v>
      </c>
      <c r="L7" s="4">
        <v>7</v>
      </c>
      <c r="M7" s="4">
        <v>12</v>
      </c>
      <c r="P7" s="6" t="s">
        <v>215</v>
      </c>
      <c r="Q7" s="4">
        <v>50</v>
      </c>
      <c r="U7" s="6" t="s">
        <v>56</v>
      </c>
      <c r="V7" s="4">
        <v>11</v>
      </c>
      <c r="Y7" s="6" t="s">
        <v>80</v>
      </c>
      <c r="Z7" s="4">
        <v>10</v>
      </c>
      <c r="AC7" s="6" t="s">
        <v>51</v>
      </c>
      <c r="AD7" s="11">
        <v>2.3636363636363638</v>
      </c>
    </row>
    <row r="8" spans="1:31">
      <c r="F8" s="6" t="s">
        <v>25</v>
      </c>
      <c r="G8" s="4">
        <v>731170</v>
      </c>
      <c r="H8" s="4">
        <v>122</v>
      </c>
      <c r="J8" s="6" t="s">
        <v>98</v>
      </c>
      <c r="K8" s="4">
        <v>4</v>
      </c>
      <c r="L8" s="4">
        <v>3</v>
      </c>
      <c r="M8" s="4">
        <v>7</v>
      </c>
      <c r="U8" s="6" t="s">
        <v>66</v>
      </c>
      <c r="V8" s="4">
        <v>9</v>
      </c>
      <c r="Y8" s="6" t="s">
        <v>49</v>
      </c>
      <c r="Z8" s="4">
        <v>9</v>
      </c>
      <c r="AC8" s="6" t="s">
        <v>60</v>
      </c>
      <c r="AD8" s="11">
        <v>2.5555555555555554</v>
      </c>
    </row>
    <row r="9" spans="1:31">
      <c r="A9" s="9" t="s">
        <v>218</v>
      </c>
      <c r="B9" s="9"/>
      <c r="C9" s="9"/>
      <c r="F9" s="6" t="s">
        <v>215</v>
      </c>
      <c r="G9" s="4">
        <v>3104913</v>
      </c>
      <c r="H9" s="4">
        <v>487</v>
      </c>
      <c r="J9" s="6" t="s">
        <v>68</v>
      </c>
      <c r="K9" s="4">
        <v>4</v>
      </c>
      <c r="L9" s="4">
        <v>5</v>
      </c>
      <c r="M9" s="4">
        <v>9</v>
      </c>
      <c r="U9" s="6" t="s">
        <v>215</v>
      </c>
      <c r="V9" s="4">
        <v>50</v>
      </c>
      <c r="Y9" s="6" t="s">
        <v>215</v>
      </c>
      <c r="Z9" s="4">
        <v>50</v>
      </c>
      <c r="AC9" s="6" t="s">
        <v>215</v>
      </c>
      <c r="AD9" s="4">
        <v>2.62</v>
      </c>
    </row>
    <row r="10" spans="1:31">
      <c r="A10" s="13" t="s">
        <v>63</v>
      </c>
      <c r="B10" s="18">
        <f>IFERROR(GETPIVOTDATA("Full Name",$A$3,"Employment Status","Contract"),"0")</f>
        <v>17</v>
      </c>
      <c r="J10" s="6" t="s">
        <v>215</v>
      </c>
      <c r="K10" s="4">
        <v>26</v>
      </c>
      <c r="L10" s="4">
        <v>24</v>
      </c>
      <c r="M10" s="4">
        <v>50</v>
      </c>
    </row>
    <row r="11" spans="1:31">
      <c r="A11" s="13" t="s">
        <v>29</v>
      </c>
      <c r="B11" s="18">
        <f>IFERROR(GETPIVOTDATA("Full Name",$A$3,"Employment Status","Full-Time"),"0")</f>
        <v>20</v>
      </c>
      <c r="P11" s="13" t="s">
        <v>44</v>
      </c>
      <c r="Q11" s="12">
        <f>IFERROR(GETPIVOTDATA("Full Name",$P$3,"Work Location","Branch Office"),"0")</f>
        <v>23</v>
      </c>
      <c r="R11" s="15">
        <f t="shared" ref="R11:R13" si="0">SUM(Q11)/SUM($Q$11:$Q$13)</f>
        <v>0.46</v>
      </c>
      <c r="S11" s="16">
        <f>1-R11</f>
        <v>0.54</v>
      </c>
      <c r="U11" s="13" t="s">
        <v>75</v>
      </c>
      <c r="V11" s="12">
        <f>IFERROR(GETPIVOTDATA("Full Name",$U$3,"Skills","Communication"),"0")</f>
        <v>12</v>
      </c>
      <c r="Y11" s="13" t="s">
        <v>39</v>
      </c>
      <c r="Z11" s="12">
        <f>IFERROR(GETPIVOTDATA("Full Name",$Y$3,"Region","Central"),"0")</f>
        <v>14</v>
      </c>
      <c r="AC11" s="13" t="s">
        <v>26</v>
      </c>
      <c r="AD11" s="17">
        <f>IFERROR(GETPIVOTDATA("Performance Rating",$AC$3,"Department","Finance"),"0")</f>
        <v>2.5833333333333335</v>
      </c>
    </row>
    <row r="12" spans="1:31">
      <c r="A12" s="13" t="s">
        <v>111</v>
      </c>
      <c r="B12" s="18">
        <f>IFERROR(GETPIVOTDATA("Full Name",$A$3,"Employment Status","Part-Time"),"0")</f>
        <v>13</v>
      </c>
      <c r="F12" s="13" t="s">
        <v>121</v>
      </c>
      <c r="G12" s="14">
        <f>IFERROR(GETPIVOTDATA("Salary",$F$3,"Job Title","Analyst"),"0")</f>
        <v>167041</v>
      </c>
      <c r="H12" s="14">
        <f>IFERROR(GETPIVOTDATA("Sum of Leave Taken",$F$3,"Job Title","Analyst"),"0")</f>
        <v>28</v>
      </c>
      <c r="J12" s="13" t="s">
        <v>23</v>
      </c>
      <c r="K12" s="12">
        <f>IFERROR(GETPIVOTDATA("Full Name",$J$3,"Age range","18-25"),"0")</f>
        <v>9</v>
      </c>
      <c r="P12" s="13" t="s">
        <v>30</v>
      </c>
      <c r="Q12" s="12">
        <f>IFERROR(GETPIVOTDATA("Full Name",$P$3,"Work Location","Head Office"),"0")</f>
        <v>8</v>
      </c>
      <c r="R12" s="15">
        <f t="shared" si="0"/>
        <v>0.16</v>
      </c>
      <c r="S12" s="16">
        <f>1-R12</f>
        <v>0.84</v>
      </c>
      <c r="U12" s="13" t="s">
        <v>34</v>
      </c>
      <c r="V12" s="12">
        <f>IFERROR(GETPIVOTDATA("Full Name",$U$3,"Skills","Design"),"0")</f>
        <v>11</v>
      </c>
      <c r="Y12" s="13" t="s">
        <v>24</v>
      </c>
      <c r="Z12" s="12">
        <f>IFERROR(GETPIVOTDATA("Full Name",$Y$3,"Region","East"),"0")</f>
        <v>10</v>
      </c>
      <c r="AC12" s="13" t="s">
        <v>41</v>
      </c>
      <c r="AD12" s="17">
        <f>IFERROR(GETPIVOTDATA("Performance Rating",$AC$3,"Department","HR"),"0")</f>
        <v>3.3</v>
      </c>
    </row>
    <row r="13" spans="1:31">
      <c r="A13" s="13" t="s">
        <v>217</v>
      </c>
      <c r="B13" s="12">
        <f>SUM(B10:B12)</f>
        <v>50</v>
      </c>
      <c r="F13" s="13" t="s">
        <v>40</v>
      </c>
      <c r="G13" s="14">
        <f>IFERROR(GETPIVOTDATA("Salary",$F$3,"Job Title","Designer"),"0")</f>
        <v>613842</v>
      </c>
      <c r="H13" s="14">
        <f>IFERROR(GETPIVOTDATA("Sum of Leave Taken",$F$3,"Job Title","Designer"),"0")</f>
        <v>110</v>
      </c>
      <c r="J13" s="13" t="s">
        <v>38</v>
      </c>
      <c r="K13" s="12">
        <f>IFERROR(GETPIVOTDATA("Full Name",$J$3,"Age range","26-35"),"0")</f>
        <v>13</v>
      </c>
      <c r="P13" s="13" t="s">
        <v>54</v>
      </c>
      <c r="Q13" s="12">
        <f>IFERROR(GETPIVOTDATA("Full Name",$P$3,"Work Location","Remote"),"0")</f>
        <v>19</v>
      </c>
      <c r="R13" s="15">
        <f t="shared" si="0"/>
        <v>0.38</v>
      </c>
      <c r="S13" s="16">
        <f>1-R13</f>
        <v>0.62</v>
      </c>
      <c r="U13" s="13" t="s">
        <v>96</v>
      </c>
      <c r="V13" s="12">
        <f>IFERROR(GETPIVOTDATA("Full Name",$U$3,"Skills","Excel"),"0")</f>
        <v>7</v>
      </c>
      <c r="Y13" s="13" t="s">
        <v>102</v>
      </c>
      <c r="Z13" s="12">
        <f>IFERROR(GETPIVOTDATA("Full Name",$Y$3,"Region","North"),"0")</f>
        <v>7</v>
      </c>
      <c r="AC13" s="13" t="s">
        <v>81</v>
      </c>
      <c r="AD13" s="17">
        <f>IFERROR(GETPIVOTDATA("Performance Rating",$AC$3,"Department","IT"),"0")</f>
        <v>2.25</v>
      </c>
    </row>
    <row r="14" spans="1:31">
      <c r="C14" s="10"/>
      <c r="F14" s="13" t="s">
        <v>72</v>
      </c>
      <c r="G14" s="14">
        <f>IFERROR(GETPIVOTDATA("Salary",$F$3,"Job Title","Developer"),"0")</f>
        <v>633594</v>
      </c>
      <c r="H14" s="14">
        <f>IFERROR(GETPIVOTDATA("Sum of Leave Taken",$F$3,"Job Title","Developer"),"0")</f>
        <v>104</v>
      </c>
      <c r="J14" s="13" t="s">
        <v>59</v>
      </c>
      <c r="K14" s="12">
        <f>IFERROR(GETPIVOTDATA("Full Name",$J$3,"Age range","36-45"),"0")</f>
        <v>12</v>
      </c>
      <c r="P14" s="13" t="s">
        <v>217</v>
      </c>
      <c r="Q14" s="12">
        <f>SUM(Q11:Q13)</f>
        <v>50</v>
      </c>
      <c r="R14" s="12"/>
      <c r="S14" s="12"/>
      <c r="U14" s="13" t="s">
        <v>56</v>
      </c>
      <c r="V14" s="12">
        <f>IFERROR(GETPIVOTDATA("Full Name",$U$3,"Skills","Management"),"0")</f>
        <v>11</v>
      </c>
      <c r="Y14" s="13" t="s">
        <v>80</v>
      </c>
      <c r="Z14" s="12">
        <f>IFERROR(GETPIVOTDATA("Full Name",$Y$3,"Region","South"),"0")</f>
        <v>10</v>
      </c>
      <c r="AC14" s="13" t="s">
        <v>51</v>
      </c>
      <c r="AD14" s="17">
        <f>IFERROR(GETPIVOTDATA("Performance Rating",$AC$3,"Department","Marketing"),"0")</f>
        <v>2.3636363636363638</v>
      </c>
    </row>
    <row r="15" spans="1:31">
      <c r="F15" s="13" t="s">
        <v>50</v>
      </c>
      <c r="G15" s="14">
        <f>IFERROR(GETPIVOTDATA("Salary",$F$3,"Job Title","HR Specialist"),"0")</f>
        <v>959266</v>
      </c>
      <c r="H15" s="14">
        <f>IFERROR(GETPIVOTDATA("Sum of Leave Taken",$F$3,"Job Title","HR Specialist"),"0")</f>
        <v>123</v>
      </c>
      <c r="J15" s="13" t="s">
        <v>98</v>
      </c>
      <c r="K15" s="12">
        <f>IFERROR(GETPIVOTDATA("Full Name",$J$3,"Age range","56 &lt;"),"0")</f>
        <v>9</v>
      </c>
      <c r="U15" s="13" t="s">
        <v>66</v>
      </c>
      <c r="V15" s="12">
        <f>IFERROR(GETPIVOTDATA("Full Name",$U$3,"Skills","Python"),"0")</f>
        <v>9</v>
      </c>
      <c r="Y15" s="13" t="s">
        <v>49</v>
      </c>
      <c r="Z15" s="12">
        <f>IFERROR(GETPIVOTDATA("Full Name",$Y$3,"Region","West"),"0")</f>
        <v>9</v>
      </c>
      <c r="AC15" s="13" t="s">
        <v>60</v>
      </c>
      <c r="AD15" s="17">
        <f>IFERROR(GETPIVOTDATA("Performance Rating",$AC$3,"Department","Operations"),"0")</f>
        <v>2.5555555555555554</v>
      </c>
    </row>
    <row r="16" spans="1:31">
      <c r="F16" s="13" t="s">
        <v>25</v>
      </c>
      <c r="G16" s="14">
        <f>IFERROR(GETPIVOTDATA("Salary",$F$3,"Job Title","Manager"),"0")</f>
        <v>731170</v>
      </c>
      <c r="H16" s="14">
        <f>IFERROR(GETPIVOTDATA("Sum of Leave Taken",$F$3,"Job Title","Manager"),"0")</f>
        <v>122</v>
      </c>
      <c r="J16" s="13" t="s">
        <v>68</v>
      </c>
      <c r="K16" s="12">
        <f>IFERROR(GETPIVOTDATA("Full Name",$J$3,"Age range","46-55"),"0")</f>
        <v>7</v>
      </c>
      <c r="U16" s="13" t="s">
        <v>217</v>
      </c>
      <c r="V16" s="12">
        <f>SUM(V11:V15)</f>
        <v>50</v>
      </c>
      <c r="Y16" s="13" t="s">
        <v>217</v>
      </c>
      <c r="Z16" s="12">
        <f>SUM(Z11:Z15)</f>
        <v>50</v>
      </c>
      <c r="AC16" s="13" t="s">
        <v>217</v>
      </c>
      <c r="AD16" s="17">
        <f>AVERAGE(AD11:AD15)</f>
        <v>2.6105050505050502</v>
      </c>
    </row>
    <row r="17" spans="5:13">
      <c r="F17" s="13" t="s">
        <v>220</v>
      </c>
      <c r="G17" s="14">
        <f>SUM(G12:G16)</f>
        <v>3104913</v>
      </c>
      <c r="H17" s="14">
        <f>SUM(H12:H16)</f>
        <v>487</v>
      </c>
    </row>
    <row r="18" spans="5:13">
      <c r="J18" s="13" t="s">
        <v>224</v>
      </c>
      <c r="K18" s="12">
        <f>IFERROR(GETPIVOTDATA("Full Name",$J$3,"Gender","Female"),"0")</f>
        <v>26</v>
      </c>
      <c r="L18" s="19">
        <f t="shared" ref="L18:L19" si="1">SUM(K18)/SUM($K$18:$K$19)</f>
        <v>0.52</v>
      </c>
      <c r="M18" s="16">
        <f>1-L18</f>
        <v>0.48</v>
      </c>
    </row>
    <row r="19" spans="5:13">
      <c r="J19" s="13" t="s">
        <v>225</v>
      </c>
      <c r="K19" s="12">
        <f>IFERROR(GETPIVOTDATA("Full Name",$J$3,"Gender","Male"),"0")</f>
        <v>24</v>
      </c>
      <c r="L19" s="19">
        <f t="shared" si="1"/>
        <v>0.48</v>
      </c>
      <c r="M19" s="16">
        <f>1-L19</f>
        <v>0.52</v>
      </c>
    </row>
    <row r="20" spans="5:13">
      <c r="E20" s="6"/>
    </row>
  </sheetData>
  <mergeCells count="8">
    <mergeCell ref="U2:W2"/>
    <mergeCell ref="Y2:AA2"/>
    <mergeCell ref="AC2:AE2"/>
    <mergeCell ref="A9:C9"/>
    <mergeCell ref="F2:H2"/>
    <mergeCell ref="A2:C2"/>
    <mergeCell ref="J2:L2"/>
    <mergeCell ref="P2:R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C4EE1B-620B-4F03-814E-1C41B516831D}">
  <dimension ref="D9:T16"/>
  <sheetViews>
    <sheetView tabSelected="1" zoomScale="94" zoomScaleNormal="94" workbookViewId="0">
      <selection activeCell="T10" sqref="T10"/>
    </sheetView>
  </sheetViews>
  <sheetFormatPr defaultRowHeight="14.4"/>
  <cols>
    <col min="1" max="16384" width="8.88671875" style="8"/>
  </cols>
  <sheetData>
    <row r="9" spans="4:20" ht="15">
      <c r="D9" s="7"/>
    </row>
    <row r="10" spans="4:20">
      <c r="T10"/>
    </row>
    <row r="16" spans="4:20">
      <c r="O16" t="s">
        <v>228</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Mahmoud Yasser</dc:creator>
  <cp:lastModifiedBy>pooja bhatt</cp:lastModifiedBy>
  <dcterms:created xsi:type="dcterms:W3CDTF">2024-12-11T17:14:33Z</dcterms:created>
  <dcterms:modified xsi:type="dcterms:W3CDTF">2025-12-02T15:47:11Z</dcterms:modified>
</cp:coreProperties>
</file>